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ink/ink1.xml" ContentType="application/inkml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ensac\Documents\DEVELOPMENT\Delphi\Projekte\Firma\ESD Zeiterfassung 1.0.0.7\Output\"/>
    </mc:Choice>
  </mc:AlternateContent>
  <xr:revisionPtr revIDLastSave="0" documentId="13_ncr:1_{175DFDDC-BB5E-4E75-9005-103926FFB0AB}" xr6:coauthVersionLast="47" xr6:coauthVersionMax="47" xr10:uidLastSave="{00000000-0000-0000-0000-000000000000}"/>
  <workbookProtection workbookAlgorithmName="SHA-512" workbookHashValue="w0uvvXt1Eb453QAsX3O+wil6zfbA7gZr4ENM/SuBd1j/aGi+14HdviuLFiJ71KGIrwMl9SupWnLkDvFQFcyigg==" workbookSaltValue="bLddhVnpmdjhK3mpsa6bvA==" workbookSpinCount="100000" lockStructure="1"/>
  <bookViews>
    <workbookView xWindow="-110" yWindow="-110" windowWidth="25180" windowHeight="16140" tabRatio="857" xr2:uid="{00000000-000D-0000-FFFF-FFFF00000000}"/>
  </bookViews>
  <sheets>
    <sheet name="Einstellungen" sheetId="1" r:id="rId1"/>
    <sheet name="Januar" sheetId="343" r:id="rId2"/>
    <sheet name="Februar" sheetId="342" r:id="rId3"/>
    <sheet name="März" sheetId="330" r:id="rId4"/>
    <sheet name="April" sheetId="344" r:id="rId5"/>
    <sheet name="Mai" sheetId="345" r:id="rId6"/>
    <sheet name="Juni" sheetId="346" r:id="rId7"/>
    <sheet name="Juli" sheetId="347" r:id="rId8"/>
    <sheet name="August" sheetId="348" r:id="rId9"/>
    <sheet name="September" sheetId="349" r:id="rId10"/>
    <sheet name="Oktober" sheetId="350" r:id="rId11"/>
    <sheet name="November" sheetId="351" r:id="rId12"/>
    <sheet name="Dezember" sheetId="352" r:id="rId13"/>
  </sheets>
  <definedNames>
    <definedName name="_xleta.DAY" hidden="1" xlm="1">#NAME?</definedName>
    <definedName name="_xleta.N" hidden="1" xlm="1">#NAME?</definedName>
    <definedName name="_xleta.T" hidden="1" xlm="1">#NAME?</definedName>
    <definedName name="DropdownNamensliste">OFFSET(Einstellungen!$S$9, 0, 0, COUNTA(Einstellungen!$S$9:$S$84), 1)</definedName>
    <definedName name="_xlnm.Print_Area" localSheetId="4">April!$A$1:$AK$61</definedName>
    <definedName name="_xlnm.Print_Area" localSheetId="8">August!$A$1:$AK$61</definedName>
    <definedName name="_xlnm.Print_Area" localSheetId="12">Dezember!$A$1:$AK$61</definedName>
    <definedName name="_xlnm.Print_Area" localSheetId="2">Februar!$A$1:$AK$61</definedName>
    <definedName name="_xlnm.Print_Area" localSheetId="1">Januar!$A$1:$AK$61</definedName>
    <definedName name="_xlnm.Print_Area" localSheetId="7">Juli!$A$1:$AK$61</definedName>
    <definedName name="_xlnm.Print_Area" localSheetId="6">Juni!$A$1:$AK$61</definedName>
    <definedName name="_xlnm.Print_Area" localSheetId="5">Mai!$A$1:$AK$61</definedName>
    <definedName name="_xlnm.Print_Area" localSheetId="3">März!$A$1:$AK$61</definedName>
    <definedName name="_xlnm.Print_Area" localSheetId="11">November!$A$1:$AK$61</definedName>
    <definedName name="_xlnm.Print_Area" localSheetId="10">Oktober!$A$1:$AK$61</definedName>
    <definedName name="_xlnm.Print_Area" localSheetId="9">September!$A$1:$AK$61</definedName>
    <definedName name="MitarbeiterListe" localSheetId="0">tblMitarbeiter[Mitarbeiter]</definedName>
    <definedName name="Nachtschichten">Einstellungen!$K$30:$K$42</definedName>
    <definedName name="SortierteNamen">Einstellungen!$R$9:$R$84</definedName>
    <definedName name="Tagschichten">Einstellungen!$I$30:$I$42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94" i="352" l="1"/>
  <c r="AG88" i="352"/>
  <c r="AF88" i="352"/>
  <c r="AE88" i="352"/>
  <c r="AD88" i="352"/>
  <c r="AC88" i="352"/>
  <c r="AB88" i="352"/>
  <c r="AA88" i="352"/>
  <c r="Z88" i="352"/>
  <c r="Y88" i="352"/>
  <c r="X88" i="352"/>
  <c r="W88" i="352"/>
  <c r="V88" i="352"/>
  <c r="U88" i="352"/>
  <c r="T88" i="352"/>
  <c r="S88" i="352"/>
  <c r="R88" i="352"/>
  <c r="Q88" i="352"/>
  <c r="P88" i="352"/>
  <c r="O88" i="352"/>
  <c r="N88" i="352"/>
  <c r="M88" i="352"/>
  <c r="L88" i="352"/>
  <c r="K88" i="352"/>
  <c r="J88" i="352"/>
  <c r="I88" i="352"/>
  <c r="H88" i="352"/>
  <c r="G88" i="352"/>
  <c r="F88" i="352"/>
  <c r="E88" i="352"/>
  <c r="D88" i="352"/>
  <c r="C88" i="352"/>
  <c r="B88" i="352"/>
  <c r="AG87" i="352"/>
  <c r="AF87" i="352"/>
  <c r="AE87" i="352"/>
  <c r="AD87" i="352"/>
  <c r="AC87" i="352"/>
  <c r="AB87" i="352"/>
  <c r="AA87" i="352"/>
  <c r="Z87" i="352"/>
  <c r="Y87" i="352"/>
  <c r="X87" i="352"/>
  <c r="W87" i="352"/>
  <c r="V87" i="352"/>
  <c r="U87" i="352"/>
  <c r="T87" i="352"/>
  <c r="S87" i="352"/>
  <c r="R87" i="352"/>
  <c r="Q87" i="352"/>
  <c r="P87" i="352"/>
  <c r="O87" i="352"/>
  <c r="N87" i="352"/>
  <c r="M87" i="352"/>
  <c r="L87" i="352"/>
  <c r="K87" i="352"/>
  <c r="J87" i="352"/>
  <c r="I87" i="352"/>
  <c r="H87" i="352"/>
  <c r="G87" i="352"/>
  <c r="F87" i="352"/>
  <c r="E87" i="352"/>
  <c r="D87" i="352"/>
  <c r="C87" i="352"/>
  <c r="B87" i="352"/>
  <c r="AG86" i="352"/>
  <c r="AF86" i="352"/>
  <c r="AE86" i="352"/>
  <c r="AD86" i="352"/>
  <c r="AC86" i="352"/>
  <c r="AB86" i="352"/>
  <c r="AA86" i="352"/>
  <c r="Z86" i="352"/>
  <c r="Y86" i="352"/>
  <c r="X86" i="352"/>
  <c r="W86" i="352"/>
  <c r="V86" i="352"/>
  <c r="U86" i="352"/>
  <c r="T86" i="352"/>
  <c r="S86" i="352"/>
  <c r="R86" i="352"/>
  <c r="Q86" i="352"/>
  <c r="P86" i="352"/>
  <c r="O86" i="352"/>
  <c r="N86" i="352"/>
  <c r="M86" i="352"/>
  <c r="L86" i="352"/>
  <c r="K86" i="352"/>
  <c r="J86" i="352"/>
  <c r="I86" i="352"/>
  <c r="H86" i="352"/>
  <c r="G86" i="352"/>
  <c r="F86" i="352"/>
  <c r="E86" i="352"/>
  <c r="D86" i="352"/>
  <c r="C86" i="352"/>
  <c r="B86" i="352"/>
  <c r="AG85" i="352"/>
  <c r="AF85" i="352"/>
  <c r="AE85" i="352"/>
  <c r="AD85" i="352"/>
  <c r="AC85" i="352"/>
  <c r="AB85" i="352"/>
  <c r="AA85" i="352"/>
  <c r="Z85" i="352"/>
  <c r="Y85" i="352"/>
  <c r="X85" i="352"/>
  <c r="W85" i="352"/>
  <c r="V85" i="352"/>
  <c r="U85" i="352"/>
  <c r="T85" i="352"/>
  <c r="S85" i="352"/>
  <c r="R85" i="352"/>
  <c r="Q85" i="352"/>
  <c r="P85" i="352"/>
  <c r="O85" i="352"/>
  <c r="N85" i="352"/>
  <c r="M85" i="352"/>
  <c r="L85" i="352"/>
  <c r="K85" i="352"/>
  <c r="J85" i="352"/>
  <c r="I85" i="352"/>
  <c r="H85" i="352"/>
  <c r="G85" i="352"/>
  <c r="F85" i="352"/>
  <c r="E85" i="352"/>
  <c r="D85" i="352"/>
  <c r="C85" i="352"/>
  <c r="B85" i="352"/>
  <c r="AG84" i="352"/>
  <c r="AF84" i="352"/>
  <c r="AE84" i="352"/>
  <c r="AD84" i="352"/>
  <c r="AC84" i="352"/>
  <c r="AB84" i="352"/>
  <c r="AA84" i="352"/>
  <c r="Z84" i="352"/>
  <c r="Y84" i="352"/>
  <c r="X84" i="352"/>
  <c r="W84" i="352"/>
  <c r="V84" i="352"/>
  <c r="U84" i="352"/>
  <c r="T84" i="352"/>
  <c r="S84" i="352"/>
  <c r="R84" i="352"/>
  <c r="Q84" i="352"/>
  <c r="P84" i="352"/>
  <c r="O84" i="352"/>
  <c r="N84" i="352"/>
  <c r="M84" i="352"/>
  <c r="L84" i="352"/>
  <c r="K84" i="352"/>
  <c r="J84" i="352"/>
  <c r="I84" i="352"/>
  <c r="H84" i="352"/>
  <c r="G84" i="352"/>
  <c r="F84" i="352"/>
  <c r="E84" i="352"/>
  <c r="D84" i="352"/>
  <c r="C84" i="352"/>
  <c r="B84" i="352"/>
  <c r="AG83" i="352"/>
  <c r="AF83" i="352"/>
  <c r="AE83" i="352"/>
  <c r="AD83" i="352"/>
  <c r="AC83" i="352"/>
  <c r="AB83" i="352"/>
  <c r="AA83" i="352"/>
  <c r="Z83" i="352"/>
  <c r="Y83" i="352"/>
  <c r="X83" i="352"/>
  <c r="W83" i="352"/>
  <c r="V83" i="352"/>
  <c r="U83" i="352"/>
  <c r="T83" i="352"/>
  <c r="S83" i="352"/>
  <c r="R83" i="352"/>
  <c r="Q83" i="352"/>
  <c r="P83" i="352"/>
  <c r="O83" i="352"/>
  <c r="N83" i="352"/>
  <c r="M83" i="352"/>
  <c r="L83" i="352"/>
  <c r="K83" i="352"/>
  <c r="J83" i="352"/>
  <c r="I83" i="352"/>
  <c r="H83" i="352"/>
  <c r="G83" i="352"/>
  <c r="F83" i="352"/>
  <c r="E83" i="352"/>
  <c r="D83" i="352"/>
  <c r="C83" i="352"/>
  <c r="B83" i="352"/>
  <c r="AG82" i="352"/>
  <c r="AF82" i="352"/>
  <c r="AE82" i="352"/>
  <c r="AD82" i="352"/>
  <c r="AC82" i="352"/>
  <c r="AB82" i="352"/>
  <c r="AA82" i="352"/>
  <c r="Z82" i="352"/>
  <c r="Y82" i="352"/>
  <c r="X82" i="352"/>
  <c r="W82" i="352"/>
  <c r="V82" i="352"/>
  <c r="U82" i="352"/>
  <c r="T82" i="352"/>
  <c r="S82" i="352"/>
  <c r="R82" i="352"/>
  <c r="Q82" i="352"/>
  <c r="P82" i="352"/>
  <c r="O82" i="352"/>
  <c r="N82" i="352"/>
  <c r="M82" i="352"/>
  <c r="L82" i="352"/>
  <c r="K82" i="352"/>
  <c r="J82" i="352"/>
  <c r="I82" i="352"/>
  <c r="H82" i="352"/>
  <c r="G82" i="352"/>
  <c r="F82" i="352"/>
  <c r="E82" i="352"/>
  <c r="D82" i="352"/>
  <c r="C82" i="352"/>
  <c r="B82" i="352"/>
  <c r="AG81" i="352"/>
  <c r="AF81" i="352"/>
  <c r="AE81" i="352"/>
  <c r="AD81" i="352"/>
  <c r="AC81" i="352"/>
  <c r="AB81" i="352"/>
  <c r="AA81" i="352"/>
  <c r="Z81" i="352"/>
  <c r="Y81" i="352"/>
  <c r="X81" i="352"/>
  <c r="W81" i="352"/>
  <c r="V81" i="352"/>
  <c r="U81" i="352"/>
  <c r="T81" i="352"/>
  <c r="S81" i="352"/>
  <c r="R81" i="352"/>
  <c r="Q81" i="352"/>
  <c r="P81" i="352"/>
  <c r="O81" i="352"/>
  <c r="N81" i="352"/>
  <c r="M81" i="352"/>
  <c r="L81" i="352"/>
  <c r="K81" i="352"/>
  <c r="J81" i="352"/>
  <c r="I81" i="352"/>
  <c r="H81" i="352"/>
  <c r="G81" i="352"/>
  <c r="F81" i="352"/>
  <c r="E81" i="352"/>
  <c r="D81" i="352"/>
  <c r="C81" i="352"/>
  <c r="B81" i="352"/>
  <c r="AG80" i="352"/>
  <c r="AF80" i="352"/>
  <c r="AE80" i="352"/>
  <c r="AD80" i="352"/>
  <c r="AC80" i="352"/>
  <c r="AB80" i="352"/>
  <c r="AA80" i="352"/>
  <c r="Z80" i="352"/>
  <c r="Y80" i="352"/>
  <c r="X80" i="352"/>
  <c r="W80" i="352"/>
  <c r="V80" i="352"/>
  <c r="U80" i="352"/>
  <c r="T80" i="352"/>
  <c r="S80" i="352"/>
  <c r="R80" i="352"/>
  <c r="Q80" i="352"/>
  <c r="P80" i="352"/>
  <c r="O80" i="352"/>
  <c r="N80" i="352"/>
  <c r="M80" i="352"/>
  <c r="L80" i="352"/>
  <c r="K80" i="352"/>
  <c r="J80" i="352"/>
  <c r="I80" i="352"/>
  <c r="H80" i="352"/>
  <c r="G80" i="352"/>
  <c r="F80" i="352"/>
  <c r="E80" i="352"/>
  <c r="D80" i="352"/>
  <c r="C80" i="352"/>
  <c r="B80" i="352"/>
  <c r="AG79" i="352"/>
  <c r="AF79" i="352"/>
  <c r="AE79" i="352"/>
  <c r="AD79" i="352"/>
  <c r="AC79" i="352"/>
  <c r="AB79" i="352"/>
  <c r="AA79" i="352"/>
  <c r="Z79" i="352"/>
  <c r="Y79" i="352"/>
  <c r="X79" i="352"/>
  <c r="W79" i="352"/>
  <c r="V79" i="352"/>
  <c r="U79" i="352"/>
  <c r="T79" i="352"/>
  <c r="S79" i="352"/>
  <c r="R79" i="352"/>
  <c r="Q79" i="352"/>
  <c r="P79" i="352"/>
  <c r="O79" i="352"/>
  <c r="N79" i="352"/>
  <c r="M79" i="352"/>
  <c r="L79" i="352"/>
  <c r="K79" i="352"/>
  <c r="J79" i="352"/>
  <c r="I79" i="352"/>
  <c r="H79" i="352"/>
  <c r="G79" i="352"/>
  <c r="F79" i="352"/>
  <c r="E79" i="352"/>
  <c r="D79" i="352"/>
  <c r="C79" i="352"/>
  <c r="B79" i="352"/>
  <c r="AB58" i="352"/>
  <c r="AJ49" i="352"/>
  <c r="AH49" i="352" a="1"/>
  <c r="AH49" i="352" s="1"/>
  <c r="AI49" i="352" s="1"/>
  <c r="A49" i="352"/>
  <c r="AJ48" i="352"/>
  <c r="AI48" i="352"/>
  <c r="AH48" i="352" a="1"/>
  <c r="AH48" i="352" s="1"/>
  <c r="A48" i="352"/>
  <c r="AJ47" i="352"/>
  <c r="AH47" i="352" a="1"/>
  <c r="AH47" i="352" s="1"/>
  <c r="AI47" i="352" s="1"/>
  <c r="A47" i="352"/>
  <c r="AJ46" i="352"/>
  <c r="AH46" i="352"/>
  <c r="AI46" i="352" s="1"/>
  <c r="AH46" i="352" a="1"/>
  <c r="A46" i="352"/>
  <c r="AJ45" i="352"/>
  <c r="AH45" i="352"/>
  <c r="AI45" i="352" s="1"/>
  <c r="AH45" i="352" a="1"/>
  <c r="A45" i="352"/>
  <c r="AJ44" i="352"/>
  <c r="AI44" i="352"/>
  <c r="AH44" i="352" a="1"/>
  <c r="AH44" i="352" s="1"/>
  <c r="A44" i="352"/>
  <c r="AJ43" i="352"/>
  <c r="AH43" i="352" a="1"/>
  <c r="AH43" i="352" s="1"/>
  <c r="AI43" i="352" s="1"/>
  <c r="A43" i="352"/>
  <c r="AJ42" i="352"/>
  <c r="AH42" i="352" a="1"/>
  <c r="AH42" i="352" s="1"/>
  <c r="AI42" i="352" s="1"/>
  <c r="A42" i="352"/>
  <c r="AJ41" i="352"/>
  <c r="AH41" i="352"/>
  <c r="AI41" i="352" s="1"/>
  <c r="AH41" i="352" a="1"/>
  <c r="A41" i="352"/>
  <c r="AJ40" i="352"/>
  <c r="AH40" i="352" a="1"/>
  <c r="AH40" i="352" s="1"/>
  <c r="AI40" i="352" s="1"/>
  <c r="A40" i="352"/>
  <c r="AJ39" i="352"/>
  <c r="AI39" i="352"/>
  <c r="AH39" i="352"/>
  <c r="AH39" i="352" a="1"/>
  <c r="A39" i="352"/>
  <c r="AJ38" i="352"/>
  <c r="AH38" i="352" a="1"/>
  <c r="AH38" i="352" s="1"/>
  <c r="AI38" i="352" s="1"/>
  <c r="A38" i="352"/>
  <c r="AJ37" i="352"/>
  <c r="AH37" i="352" a="1"/>
  <c r="AH37" i="352" s="1"/>
  <c r="AI37" i="352" s="1"/>
  <c r="A37" i="352"/>
  <c r="AJ36" i="352"/>
  <c r="AH36" i="352" a="1"/>
  <c r="AH36" i="352" s="1"/>
  <c r="AI36" i="352" s="1"/>
  <c r="A36" i="352"/>
  <c r="AJ35" i="352"/>
  <c r="AH35" i="352" a="1"/>
  <c r="AH35" i="352" s="1"/>
  <c r="AI35" i="352" s="1"/>
  <c r="A35" i="352"/>
  <c r="AJ34" i="352"/>
  <c r="AI34" i="352"/>
  <c r="AH34" i="352"/>
  <c r="AH34" i="352" a="1"/>
  <c r="A34" i="352"/>
  <c r="AJ33" i="352"/>
  <c r="AH33" i="352" a="1"/>
  <c r="AH33" i="352" s="1"/>
  <c r="AI33" i="352" s="1"/>
  <c r="A33" i="352"/>
  <c r="AJ32" i="352"/>
  <c r="AH32" i="352" a="1"/>
  <c r="AH32" i="352" s="1"/>
  <c r="AI32" i="352" s="1"/>
  <c r="A32" i="352"/>
  <c r="AJ31" i="352"/>
  <c r="AH31" i="352" a="1"/>
  <c r="AH31" i="352" s="1"/>
  <c r="AI31" i="352" s="1"/>
  <c r="A31" i="352"/>
  <c r="AJ30" i="352"/>
  <c r="AH30" i="352"/>
  <c r="AI30" i="352" s="1"/>
  <c r="AH30" i="352" a="1"/>
  <c r="A30" i="352"/>
  <c r="AJ29" i="352"/>
  <c r="AI29" i="352"/>
  <c r="AH29" i="352"/>
  <c r="AH29" i="352" a="1"/>
  <c r="A29" i="352"/>
  <c r="AJ28" i="352"/>
  <c r="AH28" i="352" a="1"/>
  <c r="AH28" i="352" s="1"/>
  <c r="AI28" i="352" s="1"/>
  <c r="A28" i="352"/>
  <c r="AJ27" i="352"/>
  <c r="AH27" i="352" a="1"/>
  <c r="AH27" i="352" s="1"/>
  <c r="AI27" i="352" s="1"/>
  <c r="A27" i="352"/>
  <c r="AK26" i="352"/>
  <c r="AJ26" i="352"/>
  <c r="AH26" i="352" a="1"/>
  <c r="AH26" i="352" s="1"/>
  <c r="A26" i="352"/>
  <c r="AJ25" i="352"/>
  <c r="AI25" i="352"/>
  <c r="AH25" i="352"/>
  <c r="AH25" i="352" a="1"/>
  <c r="A25" i="352"/>
  <c r="AK24" i="352"/>
  <c r="AJ24" i="352"/>
  <c r="AH24" i="352" a="1"/>
  <c r="AH24" i="352" s="1"/>
  <c r="A24" i="352"/>
  <c r="AO23" i="352"/>
  <c r="AP23" i="352" s="1"/>
  <c r="AK23" i="352"/>
  <c r="AJ23" i="352"/>
  <c r="AH23" i="352" a="1"/>
  <c r="AH23" i="352" s="1"/>
  <c r="AI23" i="352" s="1"/>
  <c r="A23" i="352"/>
  <c r="AK22" i="352"/>
  <c r="AJ22" i="352"/>
  <c r="AH22" i="352"/>
  <c r="AI22" i="352" s="1"/>
  <c r="AH22" i="352" a="1"/>
  <c r="A22" i="352"/>
  <c r="AK21" i="352"/>
  <c r="AJ21" i="352"/>
  <c r="AH21" i="352" a="1"/>
  <c r="AH21" i="352" s="1"/>
  <c r="A21" i="352"/>
  <c r="AK20" i="352"/>
  <c r="AJ20" i="352"/>
  <c r="AH20" i="352" a="1"/>
  <c r="AH20" i="352" s="1"/>
  <c r="A20" i="352"/>
  <c r="AK19" i="352"/>
  <c r="AJ19" i="352"/>
  <c r="AH19" i="352" a="1"/>
  <c r="AH19" i="352" s="1"/>
  <c r="AI19" i="352" s="1"/>
  <c r="A19" i="352"/>
  <c r="AK18" i="352"/>
  <c r="AJ18" i="352"/>
  <c r="AH18" i="352"/>
  <c r="AI18" i="352" s="1"/>
  <c r="AO18" i="352" s="1"/>
  <c r="AP18" i="352" s="1"/>
  <c r="AH18" i="352" a="1"/>
  <c r="A18" i="352"/>
  <c r="AP17" i="352"/>
  <c r="AO17" i="352"/>
  <c r="AK17" i="352"/>
  <c r="AJ17" i="352"/>
  <c r="AH17" i="352" a="1"/>
  <c r="AH17" i="352" s="1"/>
  <c r="AI17" i="352" s="1"/>
  <c r="A17" i="352"/>
  <c r="AK16" i="352"/>
  <c r="AJ16" i="352"/>
  <c r="AH16" i="352"/>
  <c r="AH16" i="352" a="1"/>
  <c r="A16" i="352"/>
  <c r="AO15" i="352"/>
  <c r="AP15" i="352" s="1"/>
  <c r="AK15" i="352"/>
  <c r="AJ15" i="352"/>
  <c r="AH15" i="352" a="1"/>
  <c r="AH15" i="352" s="1"/>
  <c r="AI15" i="352" s="1"/>
  <c r="A15" i="352"/>
  <c r="AK14" i="352"/>
  <c r="AJ14" i="352"/>
  <c r="AH14" i="352"/>
  <c r="AH14" i="352" a="1"/>
  <c r="A14" i="352"/>
  <c r="AK13" i="352"/>
  <c r="AO13" i="352" s="1"/>
  <c r="AP13" i="352" s="1"/>
  <c r="AJ13" i="352"/>
  <c r="AH13" i="352" a="1"/>
  <c r="AH13" i="352" s="1"/>
  <c r="AI13" i="352" s="1"/>
  <c r="A13" i="352"/>
  <c r="AO12" i="352"/>
  <c r="AP12" i="352" s="1"/>
  <c r="AK12" i="352"/>
  <c r="AJ12" i="352"/>
  <c r="AI12" i="352"/>
  <c r="AH12" i="352"/>
  <c r="AH12" i="352" a="1"/>
  <c r="A12" i="352"/>
  <c r="AK11" i="352"/>
  <c r="AJ11" i="352"/>
  <c r="AH11" i="352" a="1"/>
  <c r="AH11" i="352" s="1"/>
  <c r="A11" i="352"/>
  <c r="AK10" i="352"/>
  <c r="AJ10" i="352"/>
  <c r="AI10" i="352"/>
  <c r="AH10" i="352"/>
  <c r="AH10" i="352" a="1"/>
  <c r="A10" i="352"/>
  <c r="R7" i="352"/>
  <c r="R78" i="352" s="1"/>
  <c r="Q7" i="352"/>
  <c r="Q78" i="352" s="1"/>
  <c r="O7" i="352"/>
  <c r="O78" i="352" s="1"/>
  <c r="AD6" i="352"/>
  <c r="AC6" i="352"/>
  <c r="C4" i="352"/>
  <c r="L3" i="352"/>
  <c r="AB6" i="352" s="1"/>
  <c r="K1" i="352"/>
  <c r="C94" i="351"/>
  <c r="AG88" i="351"/>
  <c r="AF88" i="351"/>
  <c r="AE88" i="351"/>
  <c r="AD88" i="351"/>
  <c r="AC88" i="351"/>
  <c r="AB88" i="351"/>
  <c r="AA88" i="351"/>
  <c r="Z88" i="351"/>
  <c r="Y88" i="351"/>
  <c r="X88" i="351"/>
  <c r="W88" i="351"/>
  <c r="V88" i="351"/>
  <c r="U88" i="351"/>
  <c r="T88" i="351"/>
  <c r="S88" i="351"/>
  <c r="R88" i="351"/>
  <c r="Q88" i="351"/>
  <c r="P88" i="351"/>
  <c r="O88" i="351"/>
  <c r="N88" i="351"/>
  <c r="M88" i="351"/>
  <c r="L88" i="351"/>
  <c r="K88" i="351"/>
  <c r="J88" i="351"/>
  <c r="I88" i="351"/>
  <c r="H88" i="351"/>
  <c r="G88" i="351"/>
  <c r="F88" i="351"/>
  <c r="E88" i="351"/>
  <c r="D88" i="351"/>
  <c r="C88" i="351"/>
  <c r="B88" i="351"/>
  <c r="AG87" i="351"/>
  <c r="AF87" i="351"/>
  <c r="AE87" i="351"/>
  <c r="AD87" i="351"/>
  <c r="AC87" i="351"/>
  <c r="AB87" i="351"/>
  <c r="AA87" i="351"/>
  <c r="Z87" i="351"/>
  <c r="Y87" i="351"/>
  <c r="X87" i="351"/>
  <c r="W87" i="351"/>
  <c r="V87" i="351"/>
  <c r="U87" i="351"/>
  <c r="T87" i="351"/>
  <c r="S87" i="351"/>
  <c r="R87" i="351"/>
  <c r="Q87" i="351"/>
  <c r="P87" i="351"/>
  <c r="O87" i="351"/>
  <c r="N87" i="351"/>
  <c r="M87" i="351"/>
  <c r="L87" i="351"/>
  <c r="K87" i="351"/>
  <c r="J87" i="351"/>
  <c r="I87" i="351"/>
  <c r="H87" i="351"/>
  <c r="G87" i="351"/>
  <c r="F87" i="351"/>
  <c r="E87" i="351"/>
  <c r="D87" i="351"/>
  <c r="C87" i="351"/>
  <c r="B87" i="351"/>
  <c r="AG86" i="351"/>
  <c r="AF86" i="351"/>
  <c r="AE86" i="351"/>
  <c r="AD86" i="351"/>
  <c r="AC86" i="351"/>
  <c r="AB86" i="351"/>
  <c r="AA86" i="351"/>
  <c r="Z86" i="351"/>
  <c r="Y86" i="351"/>
  <c r="X86" i="351"/>
  <c r="W86" i="351"/>
  <c r="V86" i="351"/>
  <c r="U86" i="351"/>
  <c r="T86" i="351"/>
  <c r="S86" i="351"/>
  <c r="R86" i="351"/>
  <c r="Q86" i="351"/>
  <c r="P86" i="351"/>
  <c r="O86" i="351"/>
  <c r="N86" i="351"/>
  <c r="M86" i="351"/>
  <c r="L86" i="351"/>
  <c r="K86" i="351"/>
  <c r="J86" i="351"/>
  <c r="I86" i="351"/>
  <c r="H86" i="351"/>
  <c r="G86" i="351"/>
  <c r="F86" i="351"/>
  <c r="E86" i="351"/>
  <c r="D86" i="351"/>
  <c r="C86" i="351"/>
  <c r="B86" i="351"/>
  <c r="AG85" i="351"/>
  <c r="AF85" i="351"/>
  <c r="AE85" i="351"/>
  <c r="AD85" i="351"/>
  <c r="AC85" i="351"/>
  <c r="AB85" i="351"/>
  <c r="AA85" i="351"/>
  <c r="Z85" i="351"/>
  <c r="Y85" i="351"/>
  <c r="X85" i="351"/>
  <c r="W85" i="351"/>
  <c r="V85" i="351"/>
  <c r="U85" i="351"/>
  <c r="T85" i="351"/>
  <c r="S85" i="351"/>
  <c r="R85" i="351"/>
  <c r="Q85" i="351"/>
  <c r="P85" i="351"/>
  <c r="O85" i="351"/>
  <c r="N85" i="351"/>
  <c r="M85" i="351"/>
  <c r="L85" i="351"/>
  <c r="K85" i="351"/>
  <c r="J85" i="351"/>
  <c r="I85" i="351"/>
  <c r="H85" i="351"/>
  <c r="G85" i="351"/>
  <c r="F85" i="351"/>
  <c r="E85" i="351"/>
  <c r="D85" i="351"/>
  <c r="C85" i="351"/>
  <c r="B85" i="351"/>
  <c r="AG84" i="351"/>
  <c r="AF84" i="351"/>
  <c r="AE84" i="351"/>
  <c r="AD84" i="351"/>
  <c r="AC84" i="351"/>
  <c r="AB84" i="351"/>
  <c r="AA84" i="351"/>
  <c r="Z84" i="351"/>
  <c r="Y84" i="351"/>
  <c r="X84" i="351"/>
  <c r="W84" i="351"/>
  <c r="V84" i="351"/>
  <c r="U84" i="351"/>
  <c r="T84" i="351"/>
  <c r="S84" i="351"/>
  <c r="R84" i="351"/>
  <c r="Q84" i="351"/>
  <c r="P84" i="351"/>
  <c r="O84" i="351"/>
  <c r="N84" i="351"/>
  <c r="M84" i="351"/>
  <c r="L84" i="351"/>
  <c r="K84" i="351"/>
  <c r="J84" i="351"/>
  <c r="I84" i="351"/>
  <c r="H84" i="351"/>
  <c r="G84" i="351"/>
  <c r="F84" i="351"/>
  <c r="E84" i="351"/>
  <c r="D84" i="351"/>
  <c r="C84" i="351"/>
  <c r="B84" i="351"/>
  <c r="AG83" i="351"/>
  <c r="AF83" i="351"/>
  <c r="AE83" i="351"/>
  <c r="AD83" i="351"/>
  <c r="AC83" i="351"/>
  <c r="AB83" i="351"/>
  <c r="AA83" i="351"/>
  <c r="Z83" i="351"/>
  <c r="Y83" i="351"/>
  <c r="X83" i="351"/>
  <c r="W83" i="351"/>
  <c r="V83" i="351"/>
  <c r="U83" i="351"/>
  <c r="T83" i="351"/>
  <c r="S83" i="351"/>
  <c r="R83" i="351"/>
  <c r="Q83" i="351"/>
  <c r="P83" i="351"/>
  <c r="O83" i="351"/>
  <c r="N83" i="351"/>
  <c r="M83" i="351"/>
  <c r="L83" i="351"/>
  <c r="K83" i="351"/>
  <c r="J83" i="351"/>
  <c r="I83" i="351"/>
  <c r="H83" i="351"/>
  <c r="G83" i="351"/>
  <c r="F83" i="351"/>
  <c r="E83" i="351"/>
  <c r="D83" i="351"/>
  <c r="C83" i="351"/>
  <c r="B83" i="351"/>
  <c r="AG82" i="351"/>
  <c r="AF82" i="351"/>
  <c r="AE82" i="351"/>
  <c r="AD82" i="351"/>
  <c r="AC82" i="351"/>
  <c r="AB82" i="351"/>
  <c r="AA82" i="351"/>
  <c r="Z82" i="351"/>
  <c r="Y82" i="351"/>
  <c r="X82" i="351"/>
  <c r="W82" i="351"/>
  <c r="V82" i="351"/>
  <c r="U82" i="351"/>
  <c r="T82" i="351"/>
  <c r="S82" i="351"/>
  <c r="R82" i="351"/>
  <c r="Q82" i="351"/>
  <c r="P82" i="351"/>
  <c r="O82" i="351"/>
  <c r="N82" i="351"/>
  <c r="M82" i="351"/>
  <c r="L82" i="351"/>
  <c r="K82" i="351"/>
  <c r="J82" i="351"/>
  <c r="I82" i="351"/>
  <c r="H82" i="351"/>
  <c r="G82" i="351"/>
  <c r="F82" i="351"/>
  <c r="E82" i="351"/>
  <c r="D82" i="351"/>
  <c r="C82" i="351"/>
  <c r="B82" i="351"/>
  <c r="AG81" i="351"/>
  <c r="AF81" i="351"/>
  <c r="AE81" i="351"/>
  <c r="AD81" i="351"/>
  <c r="AC81" i="351"/>
  <c r="AB81" i="351"/>
  <c r="AA81" i="351"/>
  <c r="Z81" i="351"/>
  <c r="Y81" i="351"/>
  <c r="X81" i="351"/>
  <c r="W81" i="351"/>
  <c r="V81" i="351"/>
  <c r="U81" i="351"/>
  <c r="T81" i="351"/>
  <c r="S81" i="351"/>
  <c r="R81" i="351"/>
  <c r="Q81" i="351"/>
  <c r="P81" i="351"/>
  <c r="O81" i="351"/>
  <c r="N81" i="351"/>
  <c r="M81" i="351"/>
  <c r="L81" i="351"/>
  <c r="K81" i="351"/>
  <c r="J81" i="351"/>
  <c r="I81" i="351"/>
  <c r="H81" i="351"/>
  <c r="G81" i="351"/>
  <c r="F81" i="351"/>
  <c r="E81" i="351"/>
  <c r="D81" i="351"/>
  <c r="C81" i="351"/>
  <c r="B81" i="351"/>
  <c r="AG80" i="351"/>
  <c r="AF80" i="351"/>
  <c r="AE80" i="351"/>
  <c r="AD80" i="351"/>
  <c r="AC80" i="351"/>
  <c r="AB80" i="351"/>
  <c r="AA80" i="351"/>
  <c r="Z80" i="351"/>
  <c r="Y80" i="351"/>
  <c r="X80" i="351"/>
  <c r="W80" i="351"/>
  <c r="V80" i="351"/>
  <c r="U80" i="351"/>
  <c r="T80" i="351"/>
  <c r="S80" i="351"/>
  <c r="R80" i="351"/>
  <c r="Q80" i="351"/>
  <c r="P80" i="351"/>
  <c r="O80" i="351"/>
  <c r="N80" i="351"/>
  <c r="M80" i="351"/>
  <c r="L80" i="351"/>
  <c r="K80" i="351"/>
  <c r="J80" i="351"/>
  <c r="I80" i="351"/>
  <c r="H80" i="351"/>
  <c r="G80" i="351"/>
  <c r="F80" i="351"/>
  <c r="E80" i="351"/>
  <c r="D80" i="351"/>
  <c r="C80" i="351"/>
  <c r="B80" i="351"/>
  <c r="AG79" i="351"/>
  <c r="AF79" i="351"/>
  <c r="AE79" i="351"/>
  <c r="AD79" i="351"/>
  <c r="AC79" i="351"/>
  <c r="AB79" i="351"/>
  <c r="AA79" i="351"/>
  <c r="Z79" i="351"/>
  <c r="Y79" i="351"/>
  <c r="X79" i="351"/>
  <c r="W79" i="351"/>
  <c r="V79" i="351"/>
  <c r="U79" i="351"/>
  <c r="T79" i="351"/>
  <c r="S79" i="351"/>
  <c r="R79" i="351"/>
  <c r="Q79" i="351"/>
  <c r="P79" i="351"/>
  <c r="O79" i="351"/>
  <c r="N79" i="351"/>
  <c r="M79" i="351"/>
  <c r="L79" i="351"/>
  <c r="K79" i="351"/>
  <c r="J79" i="351"/>
  <c r="I79" i="351"/>
  <c r="H79" i="351"/>
  <c r="G79" i="351"/>
  <c r="F79" i="351"/>
  <c r="E79" i="351"/>
  <c r="D79" i="351"/>
  <c r="C79" i="351"/>
  <c r="B79" i="351"/>
  <c r="AB58" i="351"/>
  <c r="AJ49" i="351"/>
  <c r="AH49" i="351"/>
  <c r="AI49" i="351" s="1"/>
  <c r="AH49" i="351" a="1"/>
  <c r="A49" i="351"/>
  <c r="AJ48" i="351"/>
  <c r="AH48" i="351" a="1"/>
  <c r="AH48" i="351" s="1"/>
  <c r="AI48" i="351" s="1"/>
  <c r="A48" i="351"/>
  <c r="AJ47" i="351"/>
  <c r="AH47" i="351" a="1"/>
  <c r="AH47" i="351" s="1"/>
  <c r="AI47" i="351" s="1"/>
  <c r="A47" i="351"/>
  <c r="AJ46" i="351"/>
  <c r="AH46" i="351" a="1"/>
  <c r="AH46" i="351" s="1"/>
  <c r="AI46" i="351" s="1"/>
  <c r="A46" i="351"/>
  <c r="AJ45" i="351"/>
  <c r="AH45" i="351" a="1"/>
  <c r="AH45" i="351" s="1"/>
  <c r="AI45" i="351" s="1"/>
  <c r="A45" i="351"/>
  <c r="AJ44" i="351"/>
  <c r="AH44" i="351" a="1"/>
  <c r="AH44" i="351" s="1"/>
  <c r="AI44" i="351" s="1"/>
  <c r="A44" i="351"/>
  <c r="AJ43" i="351"/>
  <c r="AH43" i="351" a="1"/>
  <c r="AH43" i="351" s="1"/>
  <c r="AI43" i="351" s="1"/>
  <c r="A43" i="351"/>
  <c r="AJ42" i="351"/>
  <c r="AH42" i="351"/>
  <c r="AI42" i="351" s="1"/>
  <c r="AH42" i="351" a="1"/>
  <c r="A42" i="351"/>
  <c r="AJ41" i="351"/>
  <c r="AI41" i="351"/>
  <c r="AH41" i="351"/>
  <c r="AH41" i="351" a="1"/>
  <c r="A41" i="351"/>
  <c r="AJ40" i="351"/>
  <c r="AH40" i="351" a="1"/>
  <c r="AH40" i="351" s="1"/>
  <c r="AI40" i="351" s="1"/>
  <c r="A40" i="351"/>
  <c r="AJ39" i="351"/>
  <c r="AH39" i="351" a="1"/>
  <c r="AH39" i="351" s="1"/>
  <c r="AI39" i="351" s="1"/>
  <c r="A39" i="351"/>
  <c r="AJ38" i="351"/>
  <c r="AI38" i="351"/>
  <c r="AH38" i="351"/>
  <c r="AH38" i="351" a="1"/>
  <c r="A38" i="351"/>
  <c r="AJ37" i="351"/>
  <c r="AH37" i="351"/>
  <c r="AI37" i="351" s="1"/>
  <c r="AH37" i="351" a="1"/>
  <c r="A37" i="351"/>
  <c r="AJ36" i="351"/>
  <c r="AH36" i="351" a="1"/>
  <c r="AH36" i="351" s="1"/>
  <c r="AI36" i="351" s="1"/>
  <c r="A36" i="351"/>
  <c r="AJ35" i="351"/>
  <c r="AH35" i="351" a="1"/>
  <c r="AH35" i="351" s="1"/>
  <c r="AI35" i="351" s="1"/>
  <c r="A35" i="351"/>
  <c r="AJ34" i="351"/>
  <c r="AH34" i="351"/>
  <c r="AI34" i="351" s="1"/>
  <c r="AH34" i="351" a="1"/>
  <c r="A34" i="351"/>
  <c r="AJ33" i="351"/>
  <c r="AH33" i="351"/>
  <c r="AI33" i="351" s="1"/>
  <c r="AH33" i="351" a="1"/>
  <c r="A33" i="351"/>
  <c r="AJ32" i="351"/>
  <c r="AH32" i="351" a="1"/>
  <c r="AH32" i="351" s="1"/>
  <c r="AI32" i="351" s="1"/>
  <c r="A32" i="351"/>
  <c r="AJ31" i="351"/>
  <c r="AH31" i="351"/>
  <c r="AI31" i="351" s="1"/>
  <c r="AH31" i="351" a="1"/>
  <c r="A31" i="351"/>
  <c r="AJ30" i="351"/>
  <c r="AH30" i="351" a="1"/>
  <c r="AH30" i="351" s="1"/>
  <c r="AI30" i="351" s="1"/>
  <c r="A30" i="351"/>
  <c r="AJ29" i="351"/>
  <c r="AH29" i="351" a="1"/>
  <c r="AH29" i="351" s="1"/>
  <c r="AI29" i="351" s="1"/>
  <c r="A29" i="351"/>
  <c r="AJ28" i="351"/>
  <c r="AH28" i="351" a="1"/>
  <c r="AH28" i="351" s="1"/>
  <c r="AI28" i="351" s="1"/>
  <c r="A28" i="351"/>
  <c r="AJ27" i="351"/>
  <c r="AH27" i="351" a="1"/>
  <c r="AH27" i="351" s="1"/>
  <c r="AI27" i="351" s="1"/>
  <c r="A27" i="351"/>
  <c r="AK26" i="351"/>
  <c r="AJ26" i="351"/>
  <c r="AH26" i="351" a="1"/>
  <c r="AH26" i="351" s="1"/>
  <c r="A26" i="351"/>
  <c r="AJ25" i="351"/>
  <c r="AH25" i="351"/>
  <c r="AI25" i="351" s="1"/>
  <c r="AH25" i="351" a="1"/>
  <c r="A25" i="351"/>
  <c r="AK24" i="351"/>
  <c r="AJ24" i="351"/>
  <c r="AH24" i="351" a="1"/>
  <c r="AH24" i="351" s="1"/>
  <c r="A24" i="351"/>
  <c r="AK23" i="351"/>
  <c r="AJ23" i="351"/>
  <c r="AH23" i="351"/>
  <c r="AH23" i="351" a="1"/>
  <c r="A23" i="351"/>
  <c r="AK22" i="351"/>
  <c r="AJ22" i="351"/>
  <c r="AH22" i="351" a="1"/>
  <c r="AH22" i="351" s="1"/>
  <c r="A22" i="351"/>
  <c r="AK21" i="351"/>
  <c r="AK50" i="351" s="1"/>
  <c r="AJ21" i="351"/>
  <c r="AI21" i="351"/>
  <c r="AH21" i="351"/>
  <c r="AH21" i="351" a="1"/>
  <c r="A21" i="351"/>
  <c r="AK20" i="351"/>
  <c r="AJ20" i="351"/>
  <c r="AH20" i="351"/>
  <c r="AH20" i="351" a="1"/>
  <c r="A20" i="351"/>
  <c r="AK19" i="351"/>
  <c r="AJ19" i="351"/>
  <c r="AI19" i="351"/>
  <c r="AH19" i="351"/>
  <c r="AH19" i="351" a="1"/>
  <c r="A19" i="351"/>
  <c r="AK18" i="351"/>
  <c r="AJ18" i="351"/>
  <c r="AH18" i="351" a="1"/>
  <c r="AH18" i="351" s="1"/>
  <c r="A18" i="351"/>
  <c r="AK17" i="351"/>
  <c r="AJ17" i="351"/>
  <c r="AH17" i="351"/>
  <c r="AH17" i="351" a="1"/>
  <c r="A17" i="351"/>
  <c r="AK16" i="351"/>
  <c r="AJ16" i="351"/>
  <c r="AH16" i="351"/>
  <c r="AH16" i="351" a="1"/>
  <c r="A16" i="351"/>
  <c r="AK15" i="351"/>
  <c r="AJ15" i="351"/>
  <c r="AH15" i="351" a="1"/>
  <c r="AH15" i="351" s="1"/>
  <c r="A15" i="351"/>
  <c r="AK14" i="351"/>
  <c r="AJ14" i="351"/>
  <c r="AH14" i="351"/>
  <c r="AH14" i="351" a="1"/>
  <c r="A14" i="351"/>
  <c r="AK13" i="351"/>
  <c r="AJ13" i="351"/>
  <c r="AH13" i="351" a="1"/>
  <c r="AH13" i="351" s="1"/>
  <c r="A13" i="351"/>
  <c r="AK12" i="351"/>
  <c r="AJ12" i="351"/>
  <c r="AH12" i="351" a="1"/>
  <c r="AH12" i="351" s="1"/>
  <c r="A12" i="351"/>
  <c r="AK11" i="351"/>
  <c r="AJ11" i="351"/>
  <c r="AH11" i="351" a="1"/>
  <c r="AH11" i="351" s="1"/>
  <c r="AI11" i="351" s="1"/>
  <c r="A11" i="351"/>
  <c r="AK10" i="351"/>
  <c r="AJ10" i="351"/>
  <c r="AH10" i="351" a="1"/>
  <c r="AH10" i="351" s="1"/>
  <c r="A10" i="351"/>
  <c r="AE7" i="351"/>
  <c r="AE78" i="351" s="1"/>
  <c r="I7" i="351"/>
  <c r="I78" i="351" s="1"/>
  <c r="C4" i="351"/>
  <c r="L3" i="351"/>
  <c r="AA7" i="351" s="1"/>
  <c r="AA78" i="351" s="1"/>
  <c r="K1" i="351"/>
  <c r="C94" i="350"/>
  <c r="AG88" i="350"/>
  <c r="AF88" i="350"/>
  <c r="AE88" i="350"/>
  <c r="AD88" i="350"/>
  <c r="AC88" i="350"/>
  <c r="AB88" i="350"/>
  <c r="AA88" i="350"/>
  <c r="Z88" i="350"/>
  <c r="Y88" i="350"/>
  <c r="X88" i="350"/>
  <c r="W88" i="350"/>
  <c r="V88" i="350"/>
  <c r="U88" i="350"/>
  <c r="T88" i="350"/>
  <c r="S88" i="350"/>
  <c r="R88" i="350"/>
  <c r="Q88" i="350"/>
  <c r="P88" i="350"/>
  <c r="O88" i="350"/>
  <c r="N88" i="350"/>
  <c r="M88" i="350"/>
  <c r="L88" i="350"/>
  <c r="K88" i="350"/>
  <c r="J88" i="350"/>
  <c r="I88" i="350"/>
  <c r="H88" i="350"/>
  <c r="G88" i="350"/>
  <c r="F88" i="350"/>
  <c r="E88" i="350"/>
  <c r="D88" i="350"/>
  <c r="C88" i="350"/>
  <c r="B88" i="350"/>
  <c r="AG87" i="350"/>
  <c r="AF87" i="350"/>
  <c r="AE87" i="350"/>
  <c r="AD87" i="350"/>
  <c r="AC87" i="350"/>
  <c r="AB87" i="350"/>
  <c r="AA87" i="350"/>
  <c r="Z87" i="350"/>
  <c r="Y87" i="350"/>
  <c r="X87" i="350"/>
  <c r="W87" i="350"/>
  <c r="V87" i="350"/>
  <c r="U87" i="350"/>
  <c r="T87" i="350"/>
  <c r="S87" i="350"/>
  <c r="R87" i="350"/>
  <c r="Q87" i="350"/>
  <c r="P87" i="350"/>
  <c r="O87" i="350"/>
  <c r="N87" i="350"/>
  <c r="M87" i="350"/>
  <c r="L87" i="350"/>
  <c r="K87" i="350"/>
  <c r="J87" i="350"/>
  <c r="I87" i="350"/>
  <c r="H87" i="350"/>
  <c r="G87" i="350"/>
  <c r="F87" i="350"/>
  <c r="E87" i="350"/>
  <c r="D87" i="350"/>
  <c r="C87" i="350"/>
  <c r="B87" i="350"/>
  <c r="AG86" i="350"/>
  <c r="AF86" i="350"/>
  <c r="AE86" i="350"/>
  <c r="AD86" i="350"/>
  <c r="AC86" i="350"/>
  <c r="AB86" i="350"/>
  <c r="AA86" i="350"/>
  <c r="Z86" i="350"/>
  <c r="Y86" i="350"/>
  <c r="X86" i="350"/>
  <c r="W86" i="350"/>
  <c r="V86" i="350"/>
  <c r="U86" i="350"/>
  <c r="T86" i="350"/>
  <c r="S86" i="350"/>
  <c r="R86" i="350"/>
  <c r="Q86" i="350"/>
  <c r="P86" i="350"/>
  <c r="O86" i="350"/>
  <c r="N86" i="350"/>
  <c r="M86" i="350"/>
  <c r="L86" i="350"/>
  <c r="K86" i="350"/>
  <c r="J86" i="350"/>
  <c r="I86" i="350"/>
  <c r="H86" i="350"/>
  <c r="G86" i="350"/>
  <c r="F86" i="350"/>
  <c r="E86" i="350"/>
  <c r="D86" i="350"/>
  <c r="C86" i="350"/>
  <c r="B86" i="350"/>
  <c r="AG85" i="350"/>
  <c r="AF85" i="350"/>
  <c r="AE85" i="350"/>
  <c r="AD85" i="350"/>
  <c r="AC85" i="350"/>
  <c r="AB85" i="350"/>
  <c r="AA85" i="350"/>
  <c r="Z85" i="350"/>
  <c r="Y85" i="350"/>
  <c r="X85" i="350"/>
  <c r="W85" i="350"/>
  <c r="V85" i="350"/>
  <c r="U85" i="350"/>
  <c r="T85" i="350"/>
  <c r="S85" i="350"/>
  <c r="R85" i="350"/>
  <c r="Q85" i="350"/>
  <c r="P85" i="350"/>
  <c r="O85" i="350"/>
  <c r="N85" i="350"/>
  <c r="M85" i="350"/>
  <c r="L85" i="350"/>
  <c r="K85" i="350"/>
  <c r="J85" i="350"/>
  <c r="I85" i="350"/>
  <c r="H85" i="350"/>
  <c r="G85" i="350"/>
  <c r="F85" i="350"/>
  <c r="E85" i="350"/>
  <c r="D85" i="350"/>
  <c r="C85" i="350"/>
  <c r="B85" i="350"/>
  <c r="AG84" i="350"/>
  <c r="AF84" i="350"/>
  <c r="AE84" i="350"/>
  <c r="AD84" i="350"/>
  <c r="AC84" i="350"/>
  <c r="AB84" i="350"/>
  <c r="AA84" i="350"/>
  <c r="Z84" i="350"/>
  <c r="Y84" i="350"/>
  <c r="X84" i="350"/>
  <c r="W84" i="350"/>
  <c r="V84" i="350"/>
  <c r="U84" i="350"/>
  <c r="T84" i="350"/>
  <c r="S84" i="350"/>
  <c r="R84" i="350"/>
  <c r="Q84" i="350"/>
  <c r="P84" i="350"/>
  <c r="O84" i="350"/>
  <c r="N84" i="350"/>
  <c r="M84" i="350"/>
  <c r="L84" i="350"/>
  <c r="K84" i="350"/>
  <c r="J84" i="350"/>
  <c r="I84" i="350"/>
  <c r="H84" i="350"/>
  <c r="G84" i="350"/>
  <c r="F84" i="350"/>
  <c r="E84" i="350"/>
  <c r="D84" i="350"/>
  <c r="C84" i="350"/>
  <c r="B84" i="350"/>
  <c r="AG83" i="350"/>
  <c r="AF83" i="350"/>
  <c r="AE83" i="350"/>
  <c r="AD83" i="350"/>
  <c r="AC83" i="350"/>
  <c r="AB83" i="350"/>
  <c r="AA83" i="350"/>
  <c r="Z83" i="350"/>
  <c r="Y83" i="350"/>
  <c r="X83" i="350"/>
  <c r="W83" i="350"/>
  <c r="V83" i="350"/>
  <c r="U83" i="350"/>
  <c r="T83" i="350"/>
  <c r="S83" i="350"/>
  <c r="R83" i="350"/>
  <c r="Q83" i="350"/>
  <c r="P83" i="350"/>
  <c r="O83" i="350"/>
  <c r="N83" i="350"/>
  <c r="M83" i="350"/>
  <c r="L83" i="350"/>
  <c r="K83" i="350"/>
  <c r="J83" i="350"/>
  <c r="I83" i="350"/>
  <c r="H83" i="350"/>
  <c r="G83" i="350"/>
  <c r="F83" i="350"/>
  <c r="E83" i="350"/>
  <c r="D83" i="350"/>
  <c r="C83" i="350"/>
  <c r="B83" i="350"/>
  <c r="AG82" i="350"/>
  <c r="AF82" i="350"/>
  <c r="AE82" i="350"/>
  <c r="AD82" i="350"/>
  <c r="AC82" i="350"/>
  <c r="AB82" i="350"/>
  <c r="AA82" i="350"/>
  <c r="Z82" i="350"/>
  <c r="Y82" i="350"/>
  <c r="X82" i="350"/>
  <c r="W82" i="350"/>
  <c r="V82" i="350"/>
  <c r="U82" i="350"/>
  <c r="T82" i="350"/>
  <c r="S82" i="350"/>
  <c r="R82" i="350"/>
  <c r="Q82" i="350"/>
  <c r="P82" i="350"/>
  <c r="O82" i="350"/>
  <c r="N82" i="350"/>
  <c r="M82" i="350"/>
  <c r="L82" i="350"/>
  <c r="K82" i="350"/>
  <c r="J82" i="350"/>
  <c r="I82" i="350"/>
  <c r="H82" i="350"/>
  <c r="G82" i="350"/>
  <c r="F82" i="350"/>
  <c r="E82" i="350"/>
  <c r="D82" i="350"/>
  <c r="C82" i="350"/>
  <c r="B82" i="350"/>
  <c r="AG81" i="350"/>
  <c r="AF81" i="350"/>
  <c r="AE81" i="350"/>
  <c r="AD81" i="350"/>
  <c r="AC81" i="350"/>
  <c r="AB81" i="350"/>
  <c r="AA81" i="350"/>
  <c r="Z81" i="350"/>
  <c r="Y81" i="350"/>
  <c r="X81" i="350"/>
  <c r="W81" i="350"/>
  <c r="V81" i="350"/>
  <c r="U81" i="350"/>
  <c r="T81" i="350"/>
  <c r="S81" i="350"/>
  <c r="R81" i="350"/>
  <c r="Q81" i="350"/>
  <c r="P81" i="350"/>
  <c r="O81" i="350"/>
  <c r="N81" i="350"/>
  <c r="M81" i="350"/>
  <c r="L81" i="350"/>
  <c r="K81" i="350"/>
  <c r="J81" i="350"/>
  <c r="I81" i="350"/>
  <c r="H81" i="350"/>
  <c r="G81" i="350"/>
  <c r="F81" i="350"/>
  <c r="E81" i="350"/>
  <c r="D81" i="350"/>
  <c r="C81" i="350"/>
  <c r="B81" i="350"/>
  <c r="AG80" i="350"/>
  <c r="AF80" i="350"/>
  <c r="AE80" i="350"/>
  <c r="AD80" i="350"/>
  <c r="AC80" i="350"/>
  <c r="AB80" i="350"/>
  <c r="AA80" i="350"/>
  <c r="Z80" i="350"/>
  <c r="Y80" i="350"/>
  <c r="X80" i="350"/>
  <c r="W80" i="350"/>
  <c r="V80" i="350"/>
  <c r="U80" i="350"/>
  <c r="T80" i="350"/>
  <c r="S80" i="350"/>
  <c r="R80" i="350"/>
  <c r="Q80" i="350"/>
  <c r="P80" i="350"/>
  <c r="O80" i="350"/>
  <c r="N80" i="350"/>
  <c r="M80" i="350"/>
  <c r="L80" i="350"/>
  <c r="K80" i="350"/>
  <c r="J80" i="350"/>
  <c r="I80" i="350"/>
  <c r="H80" i="350"/>
  <c r="G80" i="350"/>
  <c r="F80" i="350"/>
  <c r="E80" i="350"/>
  <c r="D80" i="350"/>
  <c r="C80" i="350"/>
  <c r="B80" i="350"/>
  <c r="AG79" i="350"/>
  <c r="AF79" i="350"/>
  <c r="AE79" i="350"/>
  <c r="AD79" i="350"/>
  <c r="AC79" i="350"/>
  <c r="AB79" i="350"/>
  <c r="AA79" i="350"/>
  <c r="Z79" i="350"/>
  <c r="Y79" i="350"/>
  <c r="X79" i="350"/>
  <c r="W79" i="350"/>
  <c r="V79" i="350"/>
  <c r="U79" i="350"/>
  <c r="T79" i="350"/>
  <c r="S79" i="350"/>
  <c r="R79" i="350"/>
  <c r="Q79" i="350"/>
  <c r="P79" i="350"/>
  <c r="O79" i="350"/>
  <c r="N79" i="350"/>
  <c r="M79" i="350"/>
  <c r="L79" i="350"/>
  <c r="K79" i="350"/>
  <c r="J79" i="350"/>
  <c r="I79" i="350"/>
  <c r="H79" i="350"/>
  <c r="G79" i="350"/>
  <c r="F79" i="350"/>
  <c r="E79" i="350"/>
  <c r="D79" i="350"/>
  <c r="C79" i="350"/>
  <c r="B79" i="350"/>
  <c r="AB58" i="350"/>
  <c r="AJ49" i="350"/>
  <c r="AI49" i="350"/>
  <c r="AH49" i="350"/>
  <c r="AH49" i="350" a="1"/>
  <c r="A49" i="350"/>
  <c r="AJ48" i="350"/>
  <c r="AH48" i="350" a="1"/>
  <c r="AH48" i="350" s="1"/>
  <c r="AI48" i="350" s="1"/>
  <c r="A48" i="350"/>
  <c r="AJ47" i="350"/>
  <c r="AH47" i="350" a="1"/>
  <c r="AH47" i="350" s="1"/>
  <c r="AI47" i="350" s="1"/>
  <c r="A47" i="350"/>
  <c r="AJ46" i="350"/>
  <c r="AH46" i="350" a="1"/>
  <c r="AH46" i="350" s="1"/>
  <c r="AI46" i="350" s="1"/>
  <c r="A46" i="350"/>
  <c r="AJ45" i="350"/>
  <c r="AH45" i="350"/>
  <c r="AI45" i="350" s="1"/>
  <c r="AH45" i="350" a="1"/>
  <c r="A45" i="350"/>
  <c r="AJ44" i="350"/>
  <c r="AH44" i="350"/>
  <c r="AI44" i="350" s="1"/>
  <c r="AH44" i="350" a="1"/>
  <c r="A44" i="350"/>
  <c r="AJ43" i="350"/>
  <c r="AH43" i="350" a="1"/>
  <c r="AH43" i="350" s="1"/>
  <c r="AI43" i="350" s="1"/>
  <c r="A43" i="350"/>
  <c r="AJ42" i="350"/>
  <c r="AH42" i="350" a="1"/>
  <c r="AH42" i="350" s="1"/>
  <c r="AI42" i="350" s="1"/>
  <c r="A42" i="350"/>
  <c r="AJ41" i="350"/>
  <c r="AH41" i="350" a="1"/>
  <c r="AH41" i="350" s="1"/>
  <c r="AI41" i="350" s="1"/>
  <c r="A41" i="350"/>
  <c r="AJ40" i="350"/>
  <c r="AH40" i="350" a="1"/>
  <c r="AH40" i="350" s="1"/>
  <c r="AI40" i="350" s="1"/>
  <c r="A40" i="350"/>
  <c r="AJ39" i="350"/>
  <c r="AH39" i="350" a="1"/>
  <c r="AH39" i="350" s="1"/>
  <c r="AI39" i="350" s="1"/>
  <c r="A39" i="350"/>
  <c r="AJ38" i="350"/>
  <c r="AH38" i="350" a="1"/>
  <c r="AH38" i="350" s="1"/>
  <c r="AI38" i="350" s="1"/>
  <c r="A38" i="350"/>
  <c r="AJ37" i="350"/>
  <c r="AH37" i="350"/>
  <c r="AI37" i="350" s="1"/>
  <c r="AH37" i="350" a="1"/>
  <c r="A37" i="350"/>
  <c r="AJ36" i="350"/>
  <c r="AI36" i="350"/>
  <c r="AH36" i="350"/>
  <c r="AH36" i="350" a="1"/>
  <c r="A36" i="350"/>
  <c r="AJ35" i="350"/>
  <c r="AH35" i="350" a="1"/>
  <c r="AH35" i="350" s="1"/>
  <c r="AI35" i="350" s="1"/>
  <c r="A35" i="350"/>
  <c r="AJ34" i="350"/>
  <c r="AH34" i="350" a="1"/>
  <c r="AH34" i="350" s="1"/>
  <c r="AI34" i="350" s="1"/>
  <c r="A34" i="350"/>
  <c r="AJ33" i="350"/>
  <c r="AH33" i="350"/>
  <c r="AI33" i="350" s="1"/>
  <c r="AH33" i="350" a="1"/>
  <c r="A33" i="350"/>
  <c r="AJ32" i="350"/>
  <c r="AH32" i="350" a="1"/>
  <c r="AH32" i="350" s="1"/>
  <c r="AI32" i="350" s="1"/>
  <c r="A32" i="350"/>
  <c r="AJ31" i="350"/>
  <c r="AH31" i="350" a="1"/>
  <c r="AH31" i="350" s="1"/>
  <c r="AI31" i="350" s="1"/>
  <c r="A31" i="350"/>
  <c r="AJ30" i="350"/>
  <c r="AH30" i="350" a="1"/>
  <c r="AH30" i="350" s="1"/>
  <c r="AI30" i="350" s="1"/>
  <c r="A30" i="350"/>
  <c r="AJ29" i="350"/>
  <c r="AH29" i="350"/>
  <c r="AI29" i="350" s="1"/>
  <c r="AH29" i="350" a="1"/>
  <c r="A29" i="350"/>
  <c r="AJ28" i="350"/>
  <c r="AH28" i="350"/>
  <c r="AI28" i="350" s="1"/>
  <c r="AH28" i="350" a="1"/>
  <c r="A28" i="350"/>
  <c r="AJ27" i="350"/>
  <c r="AH27" i="350" a="1"/>
  <c r="AH27" i="350" s="1"/>
  <c r="AI27" i="350" s="1"/>
  <c r="A27" i="350"/>
  <c r="AK26" i="350"/>
  <c r="AJ26" i="350"/>
  <c r="AH26" i="350"/>
  <c r="AH26" i="350" a="1"/>
  <c r="A26" i="350"/>
  <c r="AJ25" i="350"/>
  <c r="AH25" i="350" a="1"/>
  <c r="AH25" i="350" s="1"/>
  <c r="AI25" i="350" s="1"/>
  <c r="A25" i="350"/>
  <c r="AK24" i="350"/>
  <c r="AJ24" i="350"/>
  <c r="AH24" i="350" a="1"/>
  <c r="AH24" i="350" s="1"/>
  <c r="AI24" i="350" s="1"/>
  <c r="A24" i="350"/>
  <c r="AK23" i="350"/>
  <c r="AJ23" i="350"/>
  <c r="AH23" i="350" a="1"/>
  <c r="AH23" i="350" s="1"/>
  <c r="A23" i="350"/>
  <c r="AK22" i="350"/>
  <c r="AO22" i="350" s="1"/>
  <c r="AP22" i="350" s="1"/>
  <c r="AJ22" i="350"/>
  <c r="AH22" i="350" a="1"/>
  <c r="AH22" i="350" s="1"/>
  <c r="AI22" i="350" s="1"/>
  <c r="A22" i="350"/>
  <c r="AP21" i="350"/>
  <c r="AO21" i="350"/>
  <c r="AK21" i="350"/>
  <c r="AJ21" i="350"/>
  <c r="AI21" i="350"/>
  <c r="AH21" i="350"/>
  <c r="AH21" i="350" a="1"/>
  <c r="A21" i="350"/>
  <c r="AK20" i="350"/>
  <c r="AJ20" i="350"/>
  <c r="AH20" i="350" a="1"/>
  <c r="AH20" i="350" s="1"/>
  <c r="A20" i="350"/>
  <c r="AP19" i="350"/>
  <c r="AO19" i="350"/>
  <c r="AK19" i="350"/>
  <c r="AJ19" i="350"/>
  <c r="AI19" i="350"/>
  <c r="AH19" i="350" a="1"/>
  <c r="AH19" i="350" s="1"/>
  <c r="A19" i="350"/>
  <c r="AK18" i="350"/>
  <c r="AJ18" i="350"/>
  <c r="AH18" i="350" a="1"/>
  <c r="AH18" i="350" s="1"/>
  <c r="A18" i="350"/>
  <c r="AK17" i="350"/>
  <c r="AJ17" i="350"/>
  <c r="AH17" i="350" a="1"/>
  <c r="AH17" i="350" s="1"/>
  <c r="A17" i="350"/>
  <c r="AK16" i="350"/>
  <c r="AJ16" i="350"/>
  <c r="AH16" i="350" a="1"/>
  <c r="AH16" i="350" s="1"/>
  <c r="A16" i="350"/>
  <c r="AK15" i="350"/>
  <c r="AJ15" i="350"/>
  <c r="AH15" i="350" a="1"/>
  <c r="AH15" i="350" s="1"/>
  <c r="A15" i="350"/>
  <c r="AK14" i="350"/>
  <c r="AJ14" i="350"/>
  <c r="AH14" i="350" a="1"/>
  <c r="AH14" i="350" s="1"/>
  <c r="AI14" i="350" s="1"/>
  <c r="A14" i="350"/>
  <c r="AK13" i="350"/>
  <c r="AJ13" i="350"/>
  <c r="AH13" i="350" a="1"/>
  <c r="AH13" i="350" s="1"/>
  <c r="A13" i="350"/>
  <c r="AK12" i="350"/>
  <c r="AO12" i="350" s="1"/>
  <c r="AP12" i="350" s="1"/>
  <c r="AJ12" i="350"/>
  <c r="AH12" i="350" a="1"/>
  <c r="AH12" i="350" s="1"/>
  <c r="AI12" i="350" s="1"/>
  <c r="A12" i="350"/>
  <c r="AK11" i="350"/>
  <c r="AJ11" i="350"/>
  <c r="AI11" i="350"/>
  <c r="AH11" i="350"/>
  <c r="AH11" i="350" a="1"/>
  <c r="A11" i="350"/>
  <c r="AK10" i="350"/>
  <c r="AJ10" i="350"/>
  <c r="AH10" i="350" a="1"/>
  <c r="AH10" i="350" s="1"/>
  <c r="A10" i="350"/>
  <c r="AC7" i="350"/>
  <c r="AC78" i="350" s="1"/>
  <c r="H7" i="350"/>
  <c r="H78" i="350" s="1"/>
  <c r="M6" i="350"/>
  <c r="C4" i="350"/>
  <c r="L3" i="350"/>
  <c r="S7" i="350" s="1"/>
  <c r="S78" i="350" s="1"/>
  <c r="K1" i="350"/>
  <c r="C94" i="349"/>
  <c r="AG88" i="349"/>
  <c r="AF88" i="349"/>
  <c r="AE88" i="349"/>
  <c r="AD88" i="349"/>
  <c r="AC88" i="349"/>
  <c r="AB88" i="349"/>
  <c r="AA88" i="349"/>
  <c r="Z88" i="349"/>
  <c r="Y88" i="349"/>
  <c r="X88" i="349"/>
  <c r="W88" i="349"/>
  <c r="V88" i="349"/>
  <c r="U88" i="349"/>
  <c r="T88" i="349"/>
  <c r="S88" i="349"/>
  <c r="R88" i="349"/>
  <c r="Q88" i="349"/>
  <c r="P88" i="349"/>
  <c r="O88" i="349"/>
  <c r="N88" i="349"/>
  <c r="M88" i="349"/>
  <c r="L88" i="349"/>
  <c r="K88" i="349"/>
  <c r="J88" i="349"/>
  <c r="I88" i="349"/>
  <c r="H88" i="349"/>
  <c r="G88" i="349"/>
  <c r="F88" i="349"/>
  <c r="E88" i="349"/>
  <c r="D88" i="349"/>
  <c r="C88" i="349"/>
  <c r="B88" i="349"/>
  <c r="AG87" i="349"/>
  <c r="AF87" i="349"/>
  <c r="AE87" i="349"/>
  <c r="AD87" i="349"/>
  <c r="AC87" i="349"/>
  <c r="AB87" i="349"/>
  <c r="AA87" i="349"/>
  <c r="Z87" i="349"/>
  <c r="Y87" i="349"/>
  <c r="X87" i="349"/>
  <c r="W87" i="349"/>
  <c r="V87" i="349"/>
  <c r="U87" i="349"/>
  <c r="T87" i="349"/>
  <c r="S87" i="349"/>
  <c r="R87" i="349"/>
  <c r="Q87" i="349"/>
  <c r="P87" i="349"/>
  <c r="O87" i="349"/>
  <c r="N87" i="349"/>
  <c r="M87" i="349"/>
  <c r="L87" i="349"/>
  <c r="K87" i="349"/>
  <c r="J87" i="349"/>
  <c r="I87" i="349"/>
  <c r="H87" i="349"/>
  <c r="G87" i="349"/>
  <c r="F87" i="349"/>
  <c r="E87" i="349"/>
  <c r="D87" i="349"/>
  <c r="C87" i="349"/>
  <c r="B87" i="349"/>
  <c r="AG86" i="349"/>
  <c r="AF86" i="349"/>
  <c r="AE86" i="349"/>
  <c r="AD86" i="349"/>
  <c r="AC86" i="349"/>
  <c r="AB86" i="349"/>
  <c r="AA86" i="349"/>
  <c r="Z86" i="349"/>
  <c r="Y86" i="349"/>
  <c r="X86" i="349"/>
  <c r="W86" i="349"/>
  <c r="V86" i="349"/>
  <c r="U86" i="349"/>
  <c r="T86" i="349"/>
  <c r="S86" i="349"/>
  <c r="R86" i="349"/>
  <c r="Q86" i="349"/>
  <c r="P86" i="349"/>
  <c r="O86" i="349"/>
  <c r="N86" i="349"/>
  <c r="M86" i="349"/>
  <c r="L86" i="349"/>
  <c r="K86" i="349"/>
  <c r="J86" i="349"/>
  <c r="I86" i="349"/>
  <c r="H86" i="349"/>
  <c r="G86" i="349"/>
  <c r="F86" i="349"/>
  <c r="E86" i="349"/>
  <c r="D86" i="349"/>
  <c r="C86" i="349"/>
  <c r="B86" i="349"/>
  <c r="AG85" i="349"/>
  <c r="AF85" i="349"/>
  <c r="AE85" i="349"/>
  <c r="AD85" i="349"/>
  <c r="AC85" i="349"/>
  <c r="AB85" i="349"/>
  <c r="AA85" i="349"/>
  <c r="Z85" i="349"/>
  <c r="Y85" i="349"/>
  <c r="X85" i="349"/>
  <c r="W85" i="349"/>
  <c r="V85" i="349"/>
  <c r="U85" i="349"/>
  <c r="T85" i="349"/>
  <c r="S85" i="349"/>
  <c r="R85" i="349"/>
  <c r="Q85" i="349"/>
  <c r="P85" i="349"/>
  <c r="O85" i="349"/>
  <c r="N85" i="349"/>
  <c r="M85" i="349"/>
  <c r="L85" i="349"/>
  <c r="K85" i="349"/>
  <c r="J85" i="349"/>
  <c r="I85" i="349"/>
  <c r="H85" i="349"/>
  <c r="G85" i="349"/>
  <c r="F85" i="349"/>
  <c r="E85" i="349"/>
  <c r="D85" i="349"/>
  <c r="C85" i="349"/>
  <c r="B85" i="349"/>
  <c r="AG84" i="349"/>
  <c r="AF84" i="349"/>
  <c r="AE84" i="349"/>
  <c r="AD84" i="349"/>
  <c r="AC84" i="349"/>
  <c r="AB84" i="349"/>
  <c r="AA84" i="349"/>
  <c r="Z84" i="349"/>
  <c r="Y84" i="349"/>
  <c r="X84" i="349"/>
  <c r="W84" i="349"/>
  <c r="V84" i="349"/>
  <c r="U84" i="349"/>
  <c r="T84" i="349"/>
  <c r="S84" i="349"/>
  <c r="R84" i="349"/>
  <c r="Q84" i="349"/>
  <c r="P84" i="349"/>
  <c r="O84" i="349"/>
  <c r="N84" i="349"/>
  <c r="M84" i="349"/>
  <c r="L84" i="349"/>
  <c r="K84" i="349"/>
  <c r="J84" i="349"/>
  <c r="I84" i="349"/>
  <c r="H84" i="349"/>
  <c r="G84" i="349"/>
  <c r="F84" i="349"/>
  <c r="E84" i="349"/>
  <c r="D84" i="349"/>
  <c r="C84" i="349"/>
  <c r="B84" i="349"/>
  <c r="AG83" i="349"/>
  <c r="AF83" i="349"/>
  <c r="AE83" i="349"/>
  <c r="AD83" i="349"/>
  <c r="AC83" i="349"/>
  <c r="AB83" i="349"/>
  <c r="AA83" i="349"/>
  <c r="Z83" i="349"/>
  <c r="Y83" i="349"/>
  <c r="X83" i="349"/>
  <c r="W83" i="349"/>
  <c r="V83" i="349"/>
  <c r="U83" i="349"/>
  <c r="T83" i="349"/>
  <c r="S83" i="349"/>
  <c r="R83" i="349"/>
  <c r="Q83" i="349"/>
  <c r="P83" i="349"/>
  <c r="O83" i="349"/>
  <c r="N83" i="349"/>
  <c r="M83" i="349"/>
  <c r="L83" i="349"/>
  <c r="K83" i="349"/>
  <c r="J83" i="349"/>
  <c r="I83" i="349"/>
  <c r="H83" i="349"/>
  <c r="G83" i="349"/>
  <c r="F83" i="349"/>
  <c r="E83" i="349"/>
  <c r="D83" i="349"/>
  <c r="C83" i="349"/>
  <c r="B83" i="349"/>
  <c r="AG82" i="349"/>
  <c r="AF82" i="349"/>
  <c r="AE82" i="349"/>
  <c r="AD82" i="349"/>
  <c r="AC82" i="349"/>
  <c r="AB82" i="349"/>
  <c r="AA82" i="349"/>
  <c r="Z82" i="349"/>
  <c r="Y82" i="349"/>
  <c r="X82" i="349"/>
  <c r="W82" i="349"/>
  <c r="V82" i="349"/>
  <c r="U82" i="349"/>
  <c r="T82" i="349"/>
  <c r="S82" i="349"/>
  <c r="R82" i="349"/>
  <c r="Q82" i="349"/>
  <c r="P82" i="349"/>
  <c r="O82" i="349"/>
  <c r="N82" i="349"/>
  <c r="M82" i="349"/>
  <c r="L82" i="349"/>
  <c r="K82" i="349"/>
  <c r="J82" i="349"/>
  <c r="I82" i="349"/>
  <c r="H82" i="349"/>
  <c r="G82" i="349"/>
  <c r="F82" i="349"/>
  <c r="E82" i="349"/>
  <c r="D82" i="349"/>
  <c r="C82" i="349"/>
  <c r="B82" i="349"/>
  <c r="AG81" i="349"/>
  <c r="AF81" i="349"/>
  <c r="AE81" i="349"/>
  <c r="AD81" i="349"/>
  <c r="AC81" i="349"/>
  <c r="AB81" i="349"/>
  <c r="AA81" i="349"/>
  <c r="Z81" i="349"/>
  <c r="Y81" i="349"/>
  <c r="X81" i="349"/>
  <c r="W81" i="349"/>
  <c r="V81" i="349"/>
  <c r="U81" i="349"/>
  <c r="T81" i="349"/>
  <c r="S81" i="349"/>
  <c r="R81" i="349"/>
  <c r="Q81" i="349"/>
  <c r="P81" i="349"/>
  <c r="O81" i="349"/>
  <c r="N81" i="349"/>
  <c r="M81" i="349"/>
  <c r="L81" i="349"/>
  <c r="K81" i="349"/>
  <c r="J81" i="349"/>
  <c r="I81" i="349"/>
  <c r="H81" i="349"/>
  <c r="G81" i="349"/>
  <c r="F81" i="349"/>
  <c r="E81" i="349"/>
  <c r="D81" i="349"/>
  <c r="C81" i="349"/>
  <c r="B81" i="349"/>
  <c r="AG80" i="349"/>
  <c r="AF80" i="349"/>
  <c r="AE80" i="349"/>
  <c r="AD80" i="349"/>
  <c r="AC80" i="349"/>
  <c r="AB80" i="349"/>
  <c r="AA80" i="349"/>
  <c r="Z80" i="349"/>
  <c r="Y80" i="349"/>
  <c r="X80" i="349"/>
  <c r="W80" i="349"/>
  <c r="V80" i="349"/>
  <c r="U80" i="349"/>
  <c r="T80" i="349"/>
  <c r="S80" i="349"/>
  <c r="R80" i="349"/>
  <c r="Q80" i="349"/>
  <c r="P80" i="349"/>
  <c r="O80" i="349"/>
  <c r="N80" i="349"/>
  <c r="M80" i="349"/>
  <c r="L80" i="349"/>
  <c r="K80" i="349"/>
  <c r="J80" i="349"/>
  <c r="I80" i="349"/>
  <c r="H80" i="349"/>
  <c r="G80" i="349"/>
  <c r="F80" i="349"/>
  <c r="E80" i="349"/>
  <c r="D80" i="349"/>
  <c r="C80" i="349"/>
  <c r="B80" i="349"/>
  <c r="AG79" i="349"/>
  <c r="AF79" i="349"/>
  <c r="AE79" i="349"/>
  <c r="AD79" i="349"/>
  <c r="AC79" i="349"/>
  <c r="AB79" i="349"/>
  <c r="AA79" i="349"/>
  <c r="Z79" i="349"/>
  <c r="Y79" i="349"/>
  <c r="X79" i="349"/>
  <c r="W79" i="349"/>
  <c r="V79" i="349"/>
  <c r="U79" i="349"/>
  <c r="T79" i="349"/>
  <c r="S79" i="349"/>
  <c r="R79" i="349"/>
  <c r="Q79" i="349"/>
  <c r="P79" i="349"/>
  <c r="O79" i="349"/>
  <c r="N79" i="349"/>
  <c r="M79" i="349"/>
  <c r="L79" i="349"/>
  <c r="K79" i="349"/>
  <c r="J79" i="349"/>
  <c r="I79" i="349"/>
  <c r="H79" i="349"/>
  <c r="G79" i="349"/>
  <c r="F79" i="349"/>
  <c r="E79" i="349"/>
  <c r="D79" i="349"/>
  <c r="C79" i="349"/>
  <c r="B79" i="349"/>
  <c r="AB58" i="349"/>
  <c r="AJ49" i="349"/>
  <c r="AI49" i="349"/>
  <c r="AH49" i="349"/>
  <c r="AH49" i="349" a="1"/>
  <c r="A49" i="349"/>
  <c r="AJ48" i="349"/>
  <c r="AI48" i="349"/>
  <c r="AH48" i="349"/>
  <c r="AH48" i="349" a="1"/>
  <c r="A48" i="349"/>
  <c r="AJ47" i="349"/>
  <c r="AH47" i="349" a="1"/>
  <c r="AH47" i="349" s="1"/>
  <c r="AI47" i="349" s="1"/>
  <c r="A47" i="349"/>
  <c r="AJ46" i="349"/>
  <c r="AH46" i="349"/>
  <c r="AI46" i="349" s="1"/>
  <c r="AH46" i="349" a="1"/>
  <c r="A46" i="349"/>
  <c r="AJ45" i="349"/>
  <c r="AH45" i="349"/>
  <c r="AI45" i="349" s="1"/>
  <c r="AH45" i="349" a="1"/>
  <c r="A45" i="349"/>
  <c r="AJ44" i="349"/>
  <c r="AI44" i="349"/>
  <c r="AH44" i="349" a="1"/>
  <c r="AH44" i="349" s="1"/>
  <c r="A44" i="349"/>
  <c r="AJ43" i="349"/>
  <c r="AH43" i="349" a="1"/>
  <c r="AH43" i="349" s="1"/>
  <c r="AI43" i="349" s="1"/>
  <c r="A43" i="349"/>
  <c r="AJ42" i="349"/>
  <c r="AI42" i="349"/>
  <c r="AH42" i="349"/>
  <c r="AH42" i="349" a="1"/>
  <c r="A42" i="349"/>
  <c r="AJ41" i="349"/>
  <c r="AH41" i="349"/>
  <c r="AI41" i="349" s="1"/>
  <c r="AH41" i="349" a="1"/>
  <c r="A41" i="349"/>
  <c r="AJ40" i="349"/>
  <c r="AH40" i="349"/>
  <c r="AI40" i="349" s="1"/>
  <c r="AH40" i="349" a="1"/>
  <c r="A40" i="349"/>
  <c r="AJ39" i="349"/>
  <c r="AH39" i="349" a="1"/>
  <c r="AH39" i="349" s="1"/>
  <c r="AI39" i="349" s="1"/>
  <c r="A39" i="349"/>
  <c r="AJ38" i="349"/>
  <c r="AH38" i="349" a="1"/>
  <c r="AH38" i="349" s="1"/>
  <c r="AI38" i="349" s="1"/>
  <c r="A38" i="349"/>
  <c r="AJ37" i="349"/>
  <c r="AI37" i="349"/>
  <c r="AH37" i="349"/>
  <c r="AH37" i="349" a="1"/>
  <c r="A37" i="349"/>
  <c r="AJ36" i="349"/>
  <c r="AH36" i="349" a="1"/>
  <c r="AH36" i="349" s="1"/>
  <c r="AI36" i="349" s="1"/>
  <c r="A36" i="349"/>
  <c r="AJ35" i="349"/>
  <c r="AH35" i="349" a="1"/>
  <c r="AH35" i="349" s="1"/>
  <c r="AI35" i="349" s="1"/>
  <c r="A35" i="349"/>
  <c r="AJ34" i="349"/>
  <c r="AI34" i="349"/>
  <c r="AH34" i="349"/>
  <c r="AH34" i="349" a="1"/>
  <c r="A34" i="349"/>
  <c r="AJ33" i="349"/>
  <c r="AH33" i="349" a="1"/>
  <c r="AH33" i="349" s="1"/>
  <c r="AI33" i="349" s="1"/>
  <c r="A33" i="349"/>
  <c r="AJ32" i="349"/>
  <c r="AI32" i="349"/>
  <c r="AH32" i="349"/>
  <c r="AH32" i="349" a="1"/>
  <c r="A32" i="349"/>
  <c r="AJ31" i="349"/>
  <c r="AH31" i="349" a="1"/>
  <c r="AH31" i="349" s="1"/>
  <c r="A31" i="349"/>
  <c r="AJ30" i="349"/>
  <c r="AH30" i="349" a="1"/>
  <c r="AH30" i="349" s="1"/>
  <c r="AI30" i="349" s="1"/>
  <c r="A30" i="349"/>
  <c r="AJ29" i="349"/>
  <c r="AI29" i="349"/>
  <c r="AH29" i="349"/>
  <c r="AH29" i="349" a="1"/>
  <c r="A29" i="349"/>
  <c r="AJ28" i="349"/>
  <c r="AH28" i="349" a="1"/>
  <c r="AH28" i="349" s="1"/>
  <c r="AI28" i="349" s="1"/>
  <c r="A28" i="349"/>
  <c r="AJ27" i="349"/>
  <c r="AI27" i="349"/>
  <c r="AH27" i="349"/>
  <c r="AH27" i="349" a="1"/>
  <c r="A27" i="349"/>
  <c r="AK26" i="349"/>
  <c r="AJ26" i="349"/>
  <c r="AH26" i="349" a="1"/>
  <c r="AH26" i="349" s="1"/>
  <c r="A26" i="349"/>
  <c r="AJ25" i="349"/>
  <c r="AH25" i="349" a="1"/>
  <c r="AH25" i="349" s="1"/>
  <c r="AI25" i="349" s="1"/>
  <c r="A25" i="349"/>
  <c r="AK24" i="349"/>
  <c r="AJ24" i="349"/>
  <c r="AI24" i="349"/>
  <c r="AH24" i="349" a="1"/>
  <c r="AH24" i="349" s="1"/>
  <c r="A24" i="349"/>
  <c r="AK23" i="349"/>
  <c r="AJ23" i="349"/>
  <c r="AH23" i="349"/>
  <c r="AH23" i="349" a="1"/>
  <c r="A23" i="349"/>
  <c r="AK22" i="349"/>
  <c r="AJ22" i="349"/>
  <c r="AH22" i="349" a="1"/>
  <c r="AH22" i="349" s="1"/>
  <c r="A22" i="349"/>
  <c r="AK21" i="349"/>
  <c r="AJ21" i="349"/>
  <c r="AH21" i="349" a="1"/>
  <c r="AH21" i="349" s="1"/>
  <c r="AI21" i="349" s="1"/>
  <c r="A21" i="349"/>
  <c r="AK20" i="349"/>
  <c r="AK50" i="349" s="1"/>
  <c r="AJ20" i="349"/>
  <c r="AI20" i="349"/>
  <c r="AH20" i="349"/>
  <c r="AH20" i="349" a="1"/>
  <c r="A20" i="349"/>
  <c r="AK19" i="349"/>
  <c r="AJ19" i="349"/>
  <c r="AH19" i="349" a="1"/>
  <c r="AH19" i="349" s="1"/>
  <c r="A19" i="349"/>
  <c r="AK18" i="349"/>
  <c r="AJ18" i="349"/>
  <c r="AI18" i="349"/>
  <c r="AO18" i="349" s="1"/>
  <c r="AP18" i="349" s="1"/>
  <c r="AH18" i="349" a="1"/>
  <c r="AH18" i="349" s="1"/>
  <c r="A18" i="349"/>
  <c r="AK17" i="349"/>
  <c r="AJ17" i="349"/>
  <c r="AI17" i="349"/>
  <c r="AH17" i="349" a="1"/>
  <c r="AH17" i="349" s="1"/>
  <c r="A17" i="349"/>
  <c r="AK16" i="349"/>
  <c r="AO16" i="349" s="1"/>
  <c r="AP16" i="349" s="1"/>
  <c r="AJ16" i="349"/>
  <c r="AI16" i="349"/>
  <c r="AH16" i="349"/>
  <c r="AH16" i="349" a="1"/>
  <c r="A16" i="349"/>
  <c r="AK15" i="349"/>
  <c r="AJ15" i="349"/>
  <c r="AH15" i="349" a="1"/>
  <c r="AH15" i="349" s="1"/>
  <c r="A15" i="349"/>
  <c r="AK14" i="349"/>
  <c r="AJ14" i="349"/>
  <c r="AH14" i="349" a="1"/>
  <c r="AH14" i="349" s="1"/>
  <c r="A14" i="349"/>
  <c r="AK13" i="349"/>
  <c r="AJ13" i="349"/>
  <c r="AI13" i="349"/>
  <c r="AH13" i="349"/>
  <c r="AH13" i="349" a="1"/>
  <c r="A13" i="349"/>
  <c r="AK12" i="349"/>
  <c r="AJ12" i="349"/>
  <c r="AH12" i="349" a="1"/>
  <c r="AH12" i="349" s="1"/>
  <c r="A12" i="349"/>
  <c r="AK11" i="349"/>
  <c r="AJ11" i="349"/>
  <c r="AH11" i="349" a="1"/>
  <c r="AH11" i="349" s="1"/>
  <c r="A11" i="349"/>
  <c r="AK10" i="349"/>
  <c r="AJ10" i="349"/>
  <c r="AI10" i="349"/>
  <c r="AH10" i="349" a="1"/>
  <c r="AH10" i="349" s="1"/>
  <c r="A10" i="349"/>
  <c r="C4" i="349"/>
  <c r="L3" i="349"/>
  <c r="V7" i="349" s="1"/>
  <c r="V78" i="349" s="1"/>
  <c r="K1" i="349"/>
  <c r="C94" i="348"/>
  <c r="AG88" i="348"/>
  <c r="AF88" i="348"/>
  <c r="AE88" i="348"/>
  <c r="AD88" i="348"/>
  <c r="AC88" i="348"/>
  <c r="AB88" i="348"/>
  <c r="AA88" i="348"/>
  <c r="Z88" i="348"/>
  <c r="Y88" i="348"/>
  <c r="X88" i="348"/>
  <c r="W88" i="348"/>
  <c r="V88" i="348"/>
  <c r="U88" i="348"/>
  <c r="T88" i="348"/>
  <c r="S88" i="348"/>
  <c r="R88" i="348"/>
  <c r="Q88" i="348"/>
  <c r="P88" i="348"/>
  <c r="O88" i="348"/>
  <c r="N88" i="348"/>
  <c r="M88" i="348"/>
  <c r="L88" i="348"/>
  <c r="K88" i="348"/>
  <c r="J88" i="348"/>
  <c r="I88" i="348"/>
  <c r="H88" i="348"/>
  <c r="G88" i="348"/>
  <c r="F88" i="348"/>
  <c r="E88" i="348"/>
  <c r="D88" i="348"/>
  <c r="C88" i="348"/>
  <c r="B88" i="348"/>
  <c r="AG87" i="348"/>
  <c r="AF87" i="348"/>
  <c r="AE87" i="348"/>
  <c r="AD87" i="348"/>
  <c r="AC87" i="348"/>
  <c r="AB87" i="348"/>
  <c r="AA87" i="348"/>
  <c r="Z87" i="348"/>
  <c r="Y87" i="348"/>
  <c r="X87" i="348"/>
  <c r="W87" i="348"/>
  <c r="V87" i="348"/>
  <c r="U87" i="348"/>
  <c r="T87" i="348"/>
  <c r="S87" i="348"/>
  <c r="R87" i="348"/>
  <c r="Q87" i="348"/>
  <c r="P87" i="348"/>
  <c r="O87" i="348"/>
  <c r="N87" i="348"/>
  <c r="M87" i="348"/>
  <c r="L87" i="348"/>
  <c r="K87" i="348"/>
  <c r="J87" i="348"/>
  <c r="I87" i="348"/>
  <c r="H87" i="348"/>
  <c r="G87" i="348"/>
  <c r="F87" i="348"/>
  <c r="E87" i="348"/>
  <c r="D87" i="348"/>
  <c r="C87" i="348"/>
  <c r="B87" i="348"/>
  <c r="AG86" i="348"/>
  <c r="AF86" i="348"/>
  <c r="AE86" i="348"/>
  <c r="AD86" i="348"/>
  <c r="AC86" i="348"/>
  <c r="AB86" i="348"/>
  <c r="AA86" i="348"/>
  <c r="Z86" i="348"/>
  <c r="Y86" i="348"/>
  <c r="X86" i="348"/>
  <c r="W86" i="348"/>
  <c r="V86" i="348"/>
  <c r="U86" i="348"/>
  <c r="T86" i="348"/>
  <c r="S86" i="348"/>
  <c r="R86" i="348"/>
  <c r="Q86" i="348"/>
  <c r="P86" i="348"/>
  <c r="O86" i="348"/>
  <c r="N86" i="348"/>
  <c r="M86" i="348"/>
  <c r="L86" i="348"/>
  <c r="K86" i="348"/>
  <c r="J86" i="348"/>
  <c r="I86" i="348"/>
  <c r="H86" i="348"/>
  <c r="G86" i="348"/>
  <c r="F86" i="348"/>
  <c r="E86" i="348"/>
  <c r="D86" i="348"/>
  <c r="C86" i="348"/>
  <c r="B86" i="348"/>
  <c r="AG85" i="348"/>
  <c r="AF85" i="348"/>
  <c r="AE85" i="348"/>
  <c r="AD85" i="348"/>
  <c r="AC85" i="348"/>
  <c r="AB85" i="348"/>
  <c r="AA85" i="348"/>
  <c r="Z85" i="348"/>
  <c r="Y85" i="348"/>
  <c r="X85" i="348"/>
  <c r="W85" i="348"/>
  <c r="V85" i="348"/>
  <c r="U85" i="348"/>
  <c r="T85" i="348"/>
  <c r="S85" i="348"/>
  <c r="R85" i="348"/>
  <c r="Q85" i="348"/>
  <c r="P85" i="348"/>
  <c r="O85" i="348"/>
  <c r="N85" i="348"/>
  <c r="M85" i="348"/>
  <c r="L85" i="348"/>
  <c r="K85" i="348"/>
  <c r="J85" i="348"/>
  <c r="I85" i="348"/>
  <c r="H85" i="348"/>
  <c r="G85" i="348"/>
  <c r="F85" i="348"/>
  <c r="E85" i="348"/>
  <c r="D85" i="348"/>
  <c r="C85" i="348"/>
  <c r="B85" i="348"/>
  <c r="AG84" i="348"/>
  <c r="AF84" i="348"/>
  <c r="AE84" i="348"/>
  <c r="AD84" i="348"/>
  <c r="AC84" i="348"/>
  <c r="AB84" i="348"/>
  <c r="AA84" i="348"/>
  <c r="Z84" i="348"/>
  <c r="Y84" i="348"/>
  <c r="X84" i="348"/>
  <c r="W84" i="348"/>
  <c r="V84" i="348"/>
  <c r="U84" i="348"/>
  <c r="T84" i="348"/>
  <c r="S84" i="348"/>
  <c r="R84" i="348"/>
  <c r="Q84" i="348"/>
  <c r="P84" i="348"/>
  <c r="O84" i="348"/>
  <c r="N84" i="348"/>
  <c r="M84" i="348"/>
  <c r="L84" i="348"/>
  <c r="K84" i="348"/>
  <c r="J84" i="348"/>
  <c r="I84" i="348"/>
  <c r="H84" i="348"/>
  <c r="G84" i="348"/>
  <c r="F84" i="348"/>
  <c r="E84" i="348"/>
  <c r="D84" i="348"/>
  <c r="C84" i="348"/>
  <c r="B84" i="348"/>
  <c r="AG83" i="348"/>
  <c r="AF83" i="348"/>
  <c r="AE83" i="348"/>
  <c r="AD83" i="348"/>
  <c r="AC83" i="348"/>
  <c r="AB83" i="348"/>
  <c r="AA83" i="348"/>
  <c r="Z83" i="348"/>
  <c r="Y83" i="348"/>
  <c r="X83" i="348"/>
  <c r="W83" i="348"/>
  <c r="V83" i="348"/>
  <c r="U83" i="348"/>
  <c r="T83" i="348"/>
  <c r="S83" i="348"/>
  <c r="R83" i="348"/>
  <c r="Q83" i="348"/>
  <c r="P83" i="348"/>
  <c r="O83" i="348"/>
  <c r="N83" i="348"/>
  <c r="M83" i="348"/>
  <c r="L83" i="348"/>
  <c r="K83" i="348"/>
  <c r="J83" i="348"/>
  <c r="I83" i="348"/>
  <c r="H83" i="348"/>
  <c r="G83" i="348"/>
  <c r="F83" i="348"/>
  <c r="E83" i="348"/>
  <c r="D83" i="348"/>
  <c r="C83" i="348"/>
  <c r="B83" i="348"/>
  <c r="AG82" i="348"/>
  <c r="AF82" i="348"/>
  <c r="AE82" i="348"/>
  <c r="AD82" i="348"/>
  <c r="AC82" i="348"/>
  <c r="AB82" i="348"/>
  <c r="AA82" i="348"/>
  <c r="Z82" i="348"/>
  <c r="Y82" i="348"/>
  <c r="X82" i="348"/>
  <c r="W82" i="348"/>
  <c r="V82" i="348"/>
  <c r="U82" i="348"/>
  <c r="T82" i="348"/>
  <c r="S82" i="348"/>
  <c r="R82" i="348"/>
  <c r="Q82" i="348"/>
  <c r="P82" i="348"/>
  <c r="O82" i="348"/>
  <c r="N82" i="348"/>
  <c r="M82" i="348"/>
  <c r="L82" i="348"/>
  <c r="K82" i="348"/>
  <c r="J82" i="348"/>
  <c r="I82" i="348"/>
  <c r="H82" i="348"/>
  <c r="G82" i="348"/>
  <c r="F82" i="348"/>
  <c r="E82" i="348"/>
  <c r="D82" i="348"/>
  <c r="C82" i="348"/>
  <c r="B82" i="348"/>
  <c r="AG81" i="348"/>
  <c r="AF81" i="348"/>
  <c r="AE81" i="348"/>
  <c r="AD81" i="348"/>
  <c r="AC81" i="348"/>
  <c r="AB81" i="348"/>
  <c r="AA81" i="348"/>
  <c r="Z81" i="348"/>
  <c r="Y81" i="348"/>
  <c r="X81" i="348"/>
  <c r="W81" i="348"/>
  <c r="V81" i="348"/>
  <c r="U81" i="348"/>
  <c r="T81" i="348"/>
  <c r="S81" i="348"/>
  <c r="R81" i="348"/>
  <c r="Q81" i="348"/>
  <c r="P81" i="348"/>
  <c r="O81" i="348"/>
  <c r="N81" i="348"/>
  <c r="M81" i="348"/>
  <c r="L81" i="348"/>
  <c r="K81" i="348"/>
  <c r="J81" i="348"/>
  <c r="I81" i="348"/>
  <c r="H81" i="348"/>
  <c r="G81" i="348"/>
  <c r="F81" i="348"/>
  <c r="E81" i="348"/>
  <c r="D81" i="348"/>
  <c r="C81" i="348"/>
  <c r="B81" i="348"/>
  <c r="AG80" i="348"/>
  <c r="AF80" i="348"/>
  <c r="AE80" i="348"/>
  <c r="AD80" i="348"/>
  <c r="AC80" i="348"/>
  <c r="AB80" i="348"/>
  <c r="AA80" i="348"/>
  <c r="Z80" i="348"/>
  <c r="Y80" i="348"/>
  <c r="X80" i="348"/>
  <c r="W80" i="348"/>
  <c r="V80" i="348"/>
  <c r="U80" i="348"/>
  <c r="T80" i="348"/>
  <c r="S80" i="348"/>
  <c r="R80" i="348"/>
  <c r="Q80" i="348"/>
  <c r="P80" i="348"/>
  <c r="O80" i="348"/>
  <c r="N80" i="348"/>
  <c r="M80" i="348"/>
  <c r="L80" i="348"/>
  <c r="K80" i="348"/>
  <c r="J80" i="348"/>
  <c r="I80" i="348"/>
  <c r="H80" i="348"/>
  <c r="G80" i="348"/>
  <c r="F80" i="348"/>
  <c r="E80" i="348"/>
  <c r="D80" i="348"/>
  <c r="C80" i="348"/>
  <c r="B80" i="348"/>
  <c r="AG79" i="348"/>
  <c r="AF79" i="348"/>
  <c r="AE79" i="348"/>
  <c r="AD79" i="348"/>
  <c r="AC79" i="348"/>
  <c r="AB79" i="348"/>
  <c r="AA79" i="348"/>
  <c r="Z79" i="348"/>
  <c r="Y79" i="348"/>
  <c r="X79" i="348"/>
  <c r="W79" i="348"/>
  <c r="V79" i="348"/>
  <c r="U79" i="348"/>
  <c r="T79" i="348"/>
  <c r="S79" i="348"/>
  <c r="R79" i="348"/>
  <c r="Q79" i="348"/>
  <c r="P79" i="348"/>
  <c r="O79" i="348"/>
  <c r="N79" i="348"/>
  <c r="M79" i="348"/>
  <c r="L79" i="348"/>
  <c r="K79" i="348"/>
  <c r="J79" i="348"/>
  <c r="I79" i="348"/>
  <c r="H79" i="348"/>
  <c r="G79" i="348"/>
  <c r="F79" i="348"/>
  <c r="E79" i="348"/>
  <c r="D79" i="348"/>
  <c r="C79" i="348"/>
  <c r="B79" i="348"/>
  <c r="AB58" i="348"/>
  <c r="AJ49" i="348"/>
  <c r="AI49" i="348"/>
  <c r="AH49" i="348"/>
  <c r="AH49" i="348" a="1"/>
  <c r="A49" i="348"/>
  <c r="AJ48" i="348"/>
  <c r="AI48" i="348"/>
  <c r="AH48" i="348"/>
  <c r="AH48" i="348" a="1"/>
  <c r="A48" i="348"/>
  <c r="AJ47" i="348"/>
  <c r="AH47" i="348" a="1"/>
  <c r="AH47" i="348" s="1"/>
  <c r="AI47" i="348" s="1"/>
  <c r="A47" i="348"/>
  <c r="AJ46" i="348"/>
  <c r="AH46" i="348" a="1"/>
  <c r="AH46" i="348" s="1"/>
  <c r="AI46" i="348" s="1"/>
  <c r="A46" i="348"/>
  <c r="AJ45" i="348"/>
  <c r="AI45" i="348"/>
  <c r="AH45" i="348" a="1"/>
  <c r="AH45" i="348" s="1"/>
  <c r="A45" i="348"/>
  <c r="AJ44" i="348"/>
  <c r="AH44" i="348" a="1"/>
  <c r="AH44" i="348" s="1"/>
  <c r="AI44" i="348" s="1"/>
  <c r="A44" i="348"/>
  <c r="AJ43" i="348"/>
  <c r="AH43" i="348" a="1"/>
  <c r="AH43" i="348" s="1"/>
  <c r="AI43" i="348" s="1"/>
  <c r="A43" i="348"/>
  <c r="AJ42" i="348"/>
  <c r="AH42" i="348"/>
  <c r="AI42" i="348" s="1"/>
  <c r="AH42" i="348" a="1"/>
  <c r="A42" i="348"/>
  <c r="AJ41" i="348"/>
  <c r="AI41" i="348"/>
  <c r="AH41" i="348" a="1"/>
  <c r="AH41" i="348" s="1"/>
  <c r="A41" i="348"/>
  <c r="AJ40" i="348"/>
  <c r="AI40" i="348"/>
  <c r="AH40" i="348"/>
  <c r="AH40" i="348" a="1"/>
  <c r="A40" i="348"/>
  <c r="AJ39" i="348"/>
  <c r="AH39" i="348" a="1"/>
  <c r="AH39" i="348" s="1"/>
  <c r="AI39" i="348" s="1"/>
  <c r="A39" i="348"/>
  <c r="AJ38" i="348"/>
  <c r="AH38" i="348"/>
  <c r="AI38" i="348" s="1"/>
  <c r="AH38" i="348" a="1"/>
  <c r="A38" i="348"/>
  <c r="AJ37" i="348"/>
  <c r="AH37" i="348"/>
  <c r="AI37" i="348" s="1"/>
  <c r="AH37" i="348" a="1"/>
  <c r="A37" i="348"/>
  <c r="AJ36" i="348"/>
  <c r="AI36" i="348"/>
  <c r="AH36" i="348"/>
  <c r="AH36" i="348" a="1"/>
  <c r="A36" i="348"/>
  <c r="AJ35" i="348"/>
  <c r="AH35" i="348" a="1"/>
  <c r="AH35" i="348" s="1"/>
  <c r="AI35" i="348" s="1"/>
  <c r="A35" i="348"/>
  <c r="AJ34" i="348"/>
  <c r="AI34" i="348"/>
  <c r="AH34" i="348"/>
  <c r="AH34" i="348" a="1"/>
  <c r="A34" i="348"/>
  <c r="AJ33" i="348"/>
  <c r="AH33" i="348" a="1"/>
  <c r="AH33" i="348" s="1"/>
  <c r="AI33" i="348" s="1"/>
  <c r="A33" i="348"/>
  <c r="AJ32" i="348"/>
  <c r="AI32" i="348"/>
  <c r="AH32" i="348"/>
  <c r="AH32" i="348" a="1"/>
  <c r="A32" i="348"/>
  <c r="AJ31" i="348"/>
  <c r="AH31" i="348"/>
  <c r="AI31" i="348" s="1"/>
  <c r="AH31" i="348" a="1"/>
  <c r="A31" i="348"/>
  <c r="AJ30" i="348"/>
  <c r="AH30" i="348" a="1"/>
  <c r="AH30" i="348" s="1"/>
  <c r="AI30" i="348" s="1"/>
  <c r="A30" i="348"/>
  <c r="AJ29" i="348"/>
  <c r="AI29" i="348"/>
  <c r="AH29" i="348" a="1"/>
  <c r="AH29" i="348" s="1"/>
  <c r="A29" i="348"/>
  <c r="AJ28" i="348"/>
  <c r="AH28" i="348" a="1"/>
  <c r="AH28" i="348" s="1"/>
  <c r="AI28" i="348" s="1"/>
  <c r="A28" i="348"/>
  <c r="AJ27" i="348"/>
  <c r="AI27" i="348"/>
  <c r="AH27" i="348"/>
  <c r="AH27" i="348" a="1"/>
  <c r="A27" i="348"/>
  <c r="AK26" i="348"/>
  <c r="AJ26" i="348"/>
  <c r="AH26" i="348" a="1"/>
  <c r="AH26" i="348" s="1"/>
  <c r="A26" i="348"/>
  <c r="AJ25" i="348"/>
  <c r="AI25" i="348"/>
  <c r="AH25" i="348"/>
  <c r="AH25" i="348" a="1"/>
  <c r="A25" i="348"/>
  <c r="AO24" i="348"/>
  <c r="AP24" i="348" s="1"/>
  <c r="AK24" i="348"/>
  <c r="AJ24" i="348"/>
  <c r="AH24" i="348"/>
  <c r="AI24" i="348" s="1"/>
  <c r="AH24" i="348" a="1"/>
  <c r="A24" i="348"/>
  <c r="AK23" i="348"/>
  <c r="AJ23" i="348"/>
  <c r="AH23" i="348" a="1"/>
  <c r="AH23" i="348" s="1"/>
  <c r="AI23" i="348" s="1"/>
  <c r="A23" i="348"/>
  <c r="AK22" i="348"/>
  <c r="AJ22" i="348"/>
  <c r="AO22" i="348" s="1"/>
  <c r="AP22" i="348" s="1"/>
  <c r="AH22" i="348"/>
  <c r="AI22" i="348" s="1"/>
  <c r="AH22" i="348" a="1"/>
  <c r="A22" i="348"/>
  <c r="AK21" i="348"/>
  <c r="AJ21" i="348"/>
  <c r="AH21" i="348" a="1"/>
  <c r="AH21" i="348" s="1"/>
  <c r="A21" i="348"/>
  <c r="AP20" i="348"/>
  <c r="AO20" i="348"/>
  <c r="AK20" i="348"/>
  <c r="AJ20" i="348"/>
  <c r="AH20" i="348"/>
  <c r="AI20" i="348" s="1"/>
  <c r="AH20" i="348" a="1"/>
  <c r="A20" i="348"/>
  <c r="AK19" i="348"/>
  <c r="AJ19" i="348"/>
  <c r="AH19" i="348" a="1"/>
  <c r="AH19" i="348" s="1"/>
  <c r="A19" i="348"/>
  <c r="AK18" i="348"/>
  <c r="AO18" i="348" s="1"/>
  <c r="AP18" i="348" s="1"/>
  <c r="AJ18" i="348"/>
  <c r="AH18" i="348"/>
  <c r="AI18" i="348" s="1"/>
  <c r="AH18" i="348" a="1"/>
  <c r="A18" i="348"/>
  <c r="AK17" i="348"/>
  <c r="AJ17" i="348"/>
  <c r="AH17" i="348"/>
  <c r="AH17" i="348" a="1"/>
  <c r="A17" i="348"/>
  <c r="AK16" i="348"/>
  <c r="AJ16" i="348"/>
  <c r="AH16" i="348"/>
  <c r="AI16" i="348" s="1"/>
  <c r="AH16" i="348" a="1"/>
  <c r="A16" i="348"/>
  <c r="AO15" i="348"/>
  <c r="AP15" i="348" s="1"/>
  <c r="AK15" i="348"/>
  <c r="AJ15" i="348"/>
  <c r="AI15" i="348"/>
  <c r="AH15" i="348"/>
  <c r="AH15" i="348" a="1"/>
  <c r="A15" i="348"/>
  <c r="AO14" i="348"/>
  <c r="AP14" i="348" s="1"/>
  <c r="AK14" i="348"/>
  <c r="AJ14" i="348"/>
  <c r="AH14" i="348"/>
  <c r="AI14" i="348" s="1"/>
  <c r="AH14" i="348" a="1"/>
  <c r="A14" i="348"/>
  <c r="AO13" i="348"/>
  <c r="AP13" i="348" s="1"/>
  <c r="AK13" i="348"/>
  <c r="AJ13" i="348"/>
  <c r="AH13" i="348"/>
  <c r="AI13" i="348" s="1"/>
  <c r="AH13" i="348" a="1"/>
  <c r="A13" i="348"/>
  <c r="AK12" i="348"/>
  <c r="AJ12" i="348"/>
  <c r="AH12" i="348" a="1"/>
  <c r="AH12" i="348" s="1"/>
  <c r="A12" i="348"/>
  <c r="AK11" i="348"/>
  <c r="AJ11" i="348"/>
  <c r="AH11" i="348"/>
  <c r="AH11" i="348" a="1"/>
  <c r="A11" i="348"/>
  <c r="AK10" i="348"/>
  <c r="AJ10" i="348"/>
  <c r="AH10" i="348" a="1"/>
  <c r="AH10" i="348" s="1"/>
  <c r="A10" i="348"/>
  <c r="C4" i="348"/>
  <c r="L3" i="348"/>
  <c r="I7" i="348" s="1"/>
  <c r="I78" i="348" s="1"/>
  <c r="K1" i="348"/>
  <c r="C94" i="347"/>
  <c r="AG88" i="347"/>
  <c r="AF88" i="347"/>
  <c r="AE88" i="347"/>
  <c r="AD88" i="347"/>
  <c r="AC88" i="347"/>
  <c r="AB88" i="347"/>
  <c r="AA88" i="347"/>
  <c r="Z88" i="347"/>
  <c r="Y88" i="347"/>
  <c r="X88" i="347"/>
  <c r="W88" i="347"/>
  <c r="V88" i="347"/>
  <c r="U88" i="347"/>
  <c r="T88" i="347"/>
  <c r="S88" i="347"/>
  <c r="R88" i="347"/>
  <c r="Q88" i="347"/>
  <c r="P88" i="347"/>
  <c r="O88" i="347"/>
  <c r="N88" i="347"/>
  <c r="M88" i="347"/>
  <c r="L88" i="347"/>
  <c r="K88" i="347"/>
  <c r="J88" i="347"/>
  <c r="I88" i="347"/>
  <c r="H88" i="347"/>
  <c r="G88" i="347"/>
  <c r="F88" i="347"/>
  <c r="E88" i="347"/>
  <c r="D88" i="347"/>
  <c r="C88" i="347"/>
  <c r="B88" i="347"/>
  <c r="AG87" i="347"/>
  <c r="AF87" i="347"/>
  <c r="AE87" i="347"/>
  <c r="AD87" i="347"/>
  <c r="AC87" i="347"/>
  <c r="AB87" i="347"/>
  <c r="AA87" i="347"/>
  <c r="Z87" i="347"/>
  <c r="Y87" i="347"/>
  <c r="X87" i="347"/>
  <c r="W87" i="347"/>
  <c r="V87" i="347"/>
  <c r="U87" i="347"/>
  <c r="T87" i="347"/>
  <c r="S87" i="347"/>
  <c r="R87" i="347"/>
  <c r="Q87" i="347"/>
  <c r="P87" i="347"/>
  <c r="O87" i="347"/>
  <c r="N87" i="347"/>
  <c r="M87" i="347"/>
  <c r="L87" i="347"/>
  <c r="K87" i="347"/>
  <c r="J87" i="347"/>
  <c r="I87" i="347"/>
  <c r="H87" i="347"/>
  <c r="G87" i="347"/>
  <c r="F87" i="347"/>
  <c r="E87" i="347"/>
  <c r="D87" i="347"/>
  <c r="C87" i="347"/>
  <c r="B87" i="347"/>
  <c r="AG86" i="347"/>
  <c r="AF86" i="347"/>
  <c r="AE86" i="347"/>
  <c r="AD86" i="347"/>
  <c r="AC86" i="347"/>
  <c r="AB86" i="347"/>
  <c r="AA86" i="347"/>
  <c r="Z86" i="347"/>
  <c r="Y86" i="347"/>
  <c r="X86" i="347"/>
  <c r="W86" i="347"/>
  <c r="V86" i="347"/>
  <c r="U86" i="347"/>
  <c r="T86" i="347"/>
  <c r="S86" i="347"/>
  <c r="R86" i="347"/>
  <c r="Q86" i="347"/>
  <c r="P86" i="347"/>
  <c r="O86" i="347"/>
  <c r="N86" i="347"/>
  <c r="M86" i="347"/>
  <c r="L86" i="347"/>
  <c r="K86" i="347"/>
  <c r="J86" i="347"/>
  <c r="I86" i="347"/>
  <c r="H86" i="347"/>
  <c r="G86" i="347"/>
  <c r="F86" i="347"/>
  <c r="E86" i="347"/>
  <c r="D86" i="347"/>
  <c r="C86" i="347"/>
  <c r="B86" i="347"/>
  <c r="AG85" i="347"/>
  <c r="AF85" i="347"/>
  <c r="AE85" i="347"/>
  <c r="AD85" i="347"/>
  <c r="AC85" i="347"/>
  <c r="AB85" i="347"/>
  <c r="AA85" i="347"/>
  <c r="Z85" i="347"/>
  <c r="Y85" i="347"/>
  <c r="X85" i="347"/>
  <c r="W85" i="347"/>
  <c r="V85" i="347"/>
  <c r="U85" i="347"/>
  <c r="T85" i="347"/>
  <c r="S85" i="347"/>
  <c r="R85" i="347"/>
  <c r="Q85" i="347"/>
  <c r="P85" i="347"/>
  <c r="O85" i="347"/>
  <c r="N85" i="347"/>
  <c r="M85" i="347"/>
  <c r="L85" i="347"/>
  <c r="K85" i="347"/>
  <c r="J85" i="347"/>
  <c r="I85" i="347"/>
  <c r="H85" i="347"/>
  <c r="G85" i="347"/>
  <c r="F85" i="347"/>
  <c r="E85" i="347"/>
  <c r="D85" i="347"/>
  <c r="C85" i="347"/>
  <c r="B85" i="347"/>
  <c r="AG84" i="347"/>
  <c r="AF84" i="347"/>
  <c r="AE84" i="347"/>
  <c r="AD84" i="347"/>
  <c r="AC84" i="347"/>
  <c r="AB84" i="347"/>
  <c r="AA84" i="347"/>
  <c r="Z84" i="347"/>
  <c r="Y84" i="347"/>
  <c r="X84" i="347"/>
  <c r="W84" i="347"/>
  <c r="V84" i="347"/>
  <c r="U84" i="347"/>
  <c r="T84" i="347"/>
  <c r="S84" i="347"/>
  <c r="R84" i="347"/>
  <c r="Q84" i="347"/>
  <c r="P84" i="347"/>
  <c r="O84" i="347"/>
  <c r="N84" i="347"/>
  <c r="M84" i="347"/>
  <c r="L84" i="347"/>
  <c r="K84" i="347"/>
  <c r="J84" i="347"/>
  <c r="I84" i="347"/>
  <c r="H84" i="347"/>
  <c r="G84" i="347"/>
  <c r="F84" i="347"/>
  <c r="E84" i="347"/>
  <c r="D84" i="347"/>
  <c r="C84" i="347"/>
  <c r="B84" i="347"/>
  <c r="AG83" i="347"/>
  <c r="AF83" i="347"/>
  <c r="AE83" i="347"/>
  <c r="AD83" i="347"/>
  <c r="AC83" i="347"/>
  <c r="AB83" i="347"/>
  <c r="AA83" i="347"/>
  <c r="Z83" i="347"/>
  <c r="Y83" i="347"/>
  <c r="X83" i="347"/>
  <c r="W83" i="347"/>
  <c r="V83" i="347"/>
  <c r="U83" i="347"/>
  <c r="T83" i="347"/>
  <c r="S83" i="347"/>
  <c r="R83" i="347"/>
  <c r="Q83" i="347"/>
  <c r="P83" i="347"/>
  <c r="O83" i="347"/>
  <c r="N83" i="347"/>
  <c r="M83" i="347"/>
  <c r="L83" i="347"/>
  <c r="K83" i="347"/>
  <c r="J83" i="347"/>
  <c r="I83" i="347"/>
  <c r="H83" i="347"/>
  <c r="G83" i="347"/>
  <c r="F83" i="347"/>
  <c r="E83" i="347"/>
  <c r="D83" i="347"/>
  <c r="C83" i="347"/>
  <c r="B83" i="347"/>
  <c r="AG82" i="347"/>
  <c r="AF82" i="347"/>
  <c r="AE82" i="347"/>
  <c r="AD82" i="347"/>
  <c r="AC82" i="347"/>
  <c r="AB82" i="347"/>
  <c r="AA82" i="347"/>
  <c r="Z82" i="347"/>
  <c r="Y82" i="347"/>
  <c r="X82" i="347"/>
  <c r="W82" i="347"/>
  <c r="V82" i="347"/>
  <c r="U82" i="347"/>
  <c r="T82" i="347"/>
  <c r="S82" i="347"/>
  <c r="R82" i="347"/>
  <c r="Q82" i="347"/>
  <c r="P82" i="347"/>
  <c r="O82" i="347"/>
  <c r="N82" i="347"/>
  <c r="M82" i="347"/>
  <c r="L82" i="347"/>
  <c r="K82" i="347"/>
  <c r="J82" i="347"/>
  <c r="I82" i="347"/>
  <c r="H82" i="347"/>
  <c r="G82" i="347"/>
  <c r="F82" i="347"/>
  <c r="E82" i="347"/>
  <c r="D82" i="347"/>
  <c r="C82" i="347"/>
  <c r="B82" i="347"/>
  <c r="AG81" i="347"/>
  <c r="AF81" i="347"/>
  <c r="AE81" i="347"/>
  <c r="AD81" i="347"/>
  <c r="AC81" i="347"/>
  <c r="AB81" i="347"/>
  <c r="AA81" i="347"/>
  <c r="Z81" i="347"/>
  <c r="Y81" i="347"/>
  <c r="X81" i="347"/>
  <c r="W81" i="347"/>
  <c r="V81" i="347"/>
  <c r="U81" i="347"/>
  <c r="T81" i="347"/>
  <c r="S81" i="347"/>
  <c r="R81" i="347"/>
  <c r="Q81" i="347"/>
  <c r="P81" i="347"/>
  <c r="O81" i="347"/>
  <c r="N81" i="347"/>
  <c r="M81" i="347"/>
  <c r="L81" i="347"/>
  <c r="K81" i="347"/>
  <c r="J81" i="347"/>
  <c r="I81" i="347"/>
  <c r="H81" i="347"/>
  <c r="G81" i="347"/>
  <c r="F81" i="347"/>
  <c r="E81" i="347"/>
  <c r="D81" i="347"/>
  <c r="C81" i="347"/>
  <c r="B81" i="347"/>
  <c r="AG80" i="347"/>
  <c r="AF80" i="347"/>
  <c r="AE80" i="347"/>
  <c r="AD80" i="347"/>
  <c r="AC80" i="347"/>
  <c r="AB80" i="347"/>
  <c r="AA80" i="347"/>
  <c r="Z80" i="347"/>
  <c r="Y80" i="347"/>
  <c r="X80" i="347"/>
  <c r="W80" i="347"/>
  <c r="V80" i="347"/>
  <c r="U80" i="347"/>
  <c r="T80" i="347"/>
  <c r="S80" i="347"/>
  <c r="R80" i="347"/>
  <c r="Q80" i="347"/>
  <c r="P80" i="347"/>
  <c r="O80" i="347"/>
  <c r="N80" i="347"/>
  <c r="M80" i="347"/>
  <c r="L80" i="347"/>
  <c r="K80" i="347"/>
  <c r="J80" i="347"/>
  <c r="I80" i="347"/>
  <c r="H80" i="347"/>
  <c r="G80" i="347"/>
  <c r="F80" i="347"/>
  <c r="E80" i="347"/>
  <c r="D80" i="347"/>
  <c r="C80" i="347"/>
  <c r="B80" i="347"/>
  <c r="AG79" i="347"/>
  <c r="AF79" i="347"/>
  <c r="AE79" i="347"/>
  <c r="AD79" i="347"/>
  <c r="AC79" i="347"/>
  <c r="AB79" i="347"/>
  <c r="AA79" i="347"/>
  <c r="Z79" i="347"/>
  <c r="Y79" i="347"/>
  <c r="X79" i="347"/>
  <c r="W79" i="347"/>
  <c r="V79" i="347"/>
  <c r="U79" i="347"/>
  <c r="T79" i="347"/>
  <c r="S79" i="347"/>
  <c r="R79" i="347"/>
  <c r="Q79" i="347"/>
  <c r="P79" i="347"/>
  <c r="O79" i="347"/>
  <c r="N79" i="347"/>
  <c r="M79" i="347"/>
  <c r="L79" i="347"/>
  <c r="K79" i="347"/>
  <c r="J79" i="347"/>
  <c r="I79" i="347"/>
  <c r="H79" i="347"/>
  <c r="G79" i="347"/>
  <c r="F79" i="347"/>
  <c r="E79" i="347"/>
  <c r="D79" i="347"/>
  <c r="C79" i="347"/>
  <c r="B79" i="347"/>
  <c r="AB58" i="347"/>
  <c r="AJ49" i="347"/>
  <c r="AH49" i="347" a="1"/>
  <c r="AH49" i="347" s="1"/>
  <c r="AI49" i="347" s="1"/>
  <c r="A49" i="347"/>
  <c r="AJ48" i="347"/>
  <c r="AH48" i="347"/>
  <c r="AI48" i="347" s="1"/>
  <c r="AH48" i="347" a="1"/>
  <c r="A48" i="347"/>
  <c r="AJ47" i="347"/>
  <c r="AH47" i="347" a="1"/>
  <c r="AH47" i="347" s="1"/>
  <c r="AI47" i="347" s="1"/>
  <c r="A47" i="347"/>
  <c r="AJ46" i="347"/>
  <c r="AH46" i="347"/>
  <c r="AI46" i="347" s="1"/>
  <c r="AH46" i="347" a="1"/>
  <c r="A46" i="347"/>
  <c r="AJ45" i="347"/>
  <c r="AH45" i="347"/>
  <c r="AI45" i="347" s="1"/>
  <c r="AH45" i="347" a="1"/>
  <c r="A45" i="347"/>
  <c r="AJ44" i="347"/>
  <c r="AI44" i="347"/>
  <c r="AH44" i="347"/>
  <c r="AH44" i="347" a="1"/>
  <c r="A44" i="347"/>
  <c r="AJ43" i="347"/>
  <c r="AH43" i="347" a="1"/>
  <c r="AH43" i="347" s="1"/>
  <c r="AI43" i="347" s="1"/>
  <c r="A43" i="347"/>
  <c r="AJ42" i="347"/>
  <c r="AH42" i="347" a="1"/>
  <c r="AH42" i="347" s="1"/>
  <c r="AI42" i="347" s="1"/>
  <c r="A42" i="347"/>
  <c r="AJ41" i="347"/>
  <c r="AH41" i="347"/>
  <c r="AI41" i="347" s="1"/>
  <c r="AH41" i="347" a="1"/>
  <c r="A41" i="347"/>
  <c r="AJ40" i="347"/>
  <c r="AH40" i="347"/>
  <c r="AI40" i="347" s="1"/>
  <c r="AH40" i="347" a="1"/>
  <c r="A40" i="347"/>
  <c r="AJ39" i="347"/>
  <c r="AH39" i="347" a="1"/>
  <c r="AH39" i="347" s="1"/>
  <c r="AI39" i="347" s="1"/>
  <c r="A39" i="347"/>
  <c r="AJ38" i="347"/>
  <c r="AH38" i="347" a="1"/>
  <c r="AH38" i="347" s="1"/>
  <c r="AI38" i="347" s="1"/>
  <c r="A38" i="347"/>
  <c r="AJ37" i="347"/>
  <c r="AI37" i="347"/>
  <c r="AH37" i="347" a="1"/>
  <c r="AH37" i="347" s="1"/>
  <c r="A37" i="347"/>
  <c r="AJ36" i="347"/>
  <c r="AH36" i="347" a="1"/>
  <c r="AH36" i="347" s="1"/>
  <c r="AI36" i="347" s="1"/>
  <c r="A36" i="347"/>
  <c r="AJ35" i="347"/>
  <c r="AI35" i="347"/>
  <c r="AH35" i="347" a="1"/>
  <c r="AH35" i="347" s="1"/>
  <c r="A35" i="347"/>
  <c r="AJ34" i="347"/>
  <c r="AH34" i="347"/>
  <c r="AI34" i="347" s="1"/>
  <c r="AH34" i="347" a="1"/>
  <c r="A34" i="347"/>
  <c r="AJ33" i="347"/>
  <c r="AH33" i="347"/>
  <c r="AI33" i="347" s="1"/>
  <c r="AH33" i="347" a="1"/>
  <c r="A33" i="347"/>
  <c r="AJ32" i="347"/>
  <c r="AI32" i="347"/>
  <c r="AH32" i="347"/>
  <c r="AH32" i="347" a="1"/>
  <c r="A32" i="347"/>
  <c r="AJ31" i="347"/>
  <c r="AH31" i="347" a="1"/>
  <c r="AH31" i="347" s="1"/>
  <c r="AI31" i="347" s="1"/>
  <c r="A31" i="347"/>
  <c r="AJ30" i="347"/>
  <c r="AH30" i="347" a="1"/>
  <c r="AH30" i="347" s="1"/>
  <c r="AI30" i="347" s="1"/>
  <c r="A30" i="347"/>
  <c r="AJ29" i="347"/>
  <c r="AI29" i="347"/>
  <c r="AH29" i="347"/>
  <c r="AH29" i="347" a="1"/>
  <c r="A29" i="347"/>
  <c r="AJ28" i="347"/>
  <c r="AI28" i="347"/>
  <c r="AH28" i="347"/>
  <c r="AH28" i="347" a="1"/>
  <c r="A28" i="347"/>
  <c r="AJ27" i="347"/>
  <c r="AH27" i="347" a="1"/>
  <c r="AH27" i="347" s="1"/>
  <c r="AI27" i="347" s="1"/>
  <c r="A27" i="347"/>
  <c r="AO26" i="347"/>
  <c r="AP26" i="347" s="1"/>
  <c r="AK26" i="347"/>
  <c r="AJ26" i="347"/>
  <c r="AH26" i="347" a="1"/>
  <c r="AH26" i="347" s="1"/>
  <c r="AI26" i="347" s="1"/>
  <c r="A26" i="347"/>
  <c r="AJ25" i="347"/>
  <c r="AH25" i="347" a="1"/>
  <c r="AH25" i="347" s="1"/>
  <c r="AI25" i="347" s="1"/>
  <c r="A25" i="347"/>
  <c r="AP24" i="347"/>
  <c r="AO24" i="347"/>
  <c r="AK24" i="347"/>
  <c r="AJ24" i="347"/>
  <c r="AI24" i="347"/>
  <c r="AH24" i="347" a="1"/>
  <c r="AH24" i="347" s="1"/>
  <c r="A24" i="347"/>
  <c r="AK23" i="347"/>
  <c r="AJ23" i="347"/>
  <c r="AH23" i="347" a="1"/>
  <c r="AH23" i="347" s="1"/>
  <c r="A23" i="347"/>
  <c r="AK22" i="347"/>
  <c r="AJ22" i="347"/>
  <c r="AH22" i="347" a="1"/>
  <c r="AH22" i="347" s="1"/>
  <c r="A22" i="347"/>
  <c r="AO21" i="347"/>
  <c r="AP21" i="347" s="1"/>
  <c r="AK21" i="347"/>
  <c r="AJ21" i="347"/>
  <c r="AH21" i="347" a="1"/>
  <c r="AH21" i="347" s="1"/>
  <c r="AI21" i="347" s="1"/>
  <c r="A21" i="347"/>
  <c r="AK20" i="347"/>
  <c r="AJ20" i="347"/>
  <c r="AH20" i="347" a="1"/>
  <c r="AH20" i="347" s="1"/>
  <c r="A20" i="347"/>
  <c r="AO19" i="347"/>
  <c r="AP19" i="347" s="1"/>
  <c r="AK19" i="347"/>
  <c r="AJ19" i="347"/>
  <c r="AH19" i="347"/>
  <c r="AI19" i="347" s="1"/>
  <c r="AH19" i="347" a="1"/>
  <c r="A19" i="347"/>
  <c r="AK18" i="347"/>
  <c r="AJ18" i="347"/>
  <c r="AH18" i="347" a="1"/>
  <c r="AH18" i="347" s="1"/>
  <c r="A18" i="347"/>
  <c r="AK17" i="347"/>
  <c r="AJ17" i="347"/>
  <c r="AH17" i="347" a="1"/>
  <c r="AH17" i="347" s="1"/>
  <c r="A17" i="347"/>
  <c r="AK16" i="347"/>
  <c r="AJ16" i="347"/>
  <c r="AH16" i="347" a="1"/>
  <c r="AH16" i="347" s="1"/>
  <c r="A16" i="347"/>
  <c r="AK15" i="347"/>
  <c r="AJ15" i="347"/>
  <c r="AH15" i="347"/>
  <c r="AI15" i="347" s="1"/>
  <c r="AH15" i="347" a="1"/>
  <c r="A15" i="347"/>
  <c r="AK14" i="347"/>
  <c r="AJ14" i="347"/>
  <c r="AH14" i="347" a="1"/>
  <c r="AH14" i="347" s="1"/>
  <c r="A14" i="347"/>
  <c r="AK13" i="347"/>
  <c r="AJ13" i="347"/>
  <c r="AH13" i="347"/>
  <c r="AI13" i="347" s="1"/>
  <c r="AH13" i="347" a="1"/>
  <c r="A13" i="347"/>
  <c r="AK12" i="347"/>
  <c r="AJ12" i="347"/>
  <c r="AH12" i="347" a="1"/>
  <c r="AH12" i="347" s="1"/>
  <c r="A12" i="347"/>
  <c r="AK11" i="347"/>
  <c r="AJ11" i="347"/>
  <c r="AH11" i="347" a="1"/>
  <c r="AH11" i="347" s="1"/>
  <c r="A11" i="347"/>
  <c r="AK10" i="347"/>
  <c r="AO10" i="347" s="1"/>
  <c r="AP10" i="347" s="1"/>
  <c r="AJ10" i="347"/>
  <c r="AI10" i="347"/>
  <c r="AH10" i="347"/>
  <c r="AH10" i="347" a="1"/>
  <c r="A10" i="347"/>
  <c r="R7" i="347"/>
  <c r="R78" i="347" s="1"/>
  <c r="L7" i="347"/>
  <c r="L78" i="347" s="1"/>
  <c r="J7" i="347"/>
  <c r="J78" i="347" s="1"/>
  <c r="AB6" i="347"/>
  <c r="AA6" i="347"/>
  <c r="AA8" i="347" s="1"/>
  <c r="Y6" i="347"/>
  <c r="Y8" i="347" s="1"/>
  <c r="W6" i="347"/>
  <c r="W8" i="347" s="1"/>
  <c r="U6" i="347"/>
  <c r="U8" i="347" s="1"/>
  <c r="S6" i="347"/>
  <c r="Q6" i="347"/>
  <c r="I6" i="347"/>
  <c r="C4" i="347"/>
  <c r="L3" i="347"/>
  <c r="P7" i="347" s="1"/>
  <c r="P78" i="347" s="1"/>
  <c r="K1" i="347"/>
  <c r="C94" i="346"/>
  <c r="AG88" i="346"/>
  <c r="AF88" i="346"/>
  <c r="AE88" i="346"/>
  <c r="AD88" i="346"/>
  <c r="AC88" i="346"/>
  <c r="AB88" i="346"/>
  <c r="AA88" i="346"/>
  <c r="Z88" i="346"/>
  <c r="Y88" i="346"/>
  <c r="X88" i="346"/>
  <c r="W88" i="346"/>
  <c r="V88" i="346"/>
  <c r="U88" i="346"/>
  <c r="T88" i="346"/>
  <c r="S88" i="346"/>
  <c r="R88" i="346"/>
  <c r="Q88" i="346"/>
  <c r="P88" i="346"/>
  <c r="O88" i="346"/>
  <c r="N88" i="346"/>
  <c r="M88" i="346"/>
  <c r="L88" i="346"/>
  <c r="K88" i="346"/>
  <c r="J88" i="346"/>
  <c r="I88" i="346"/>
  <c r="H88" i="346"/>
  <c r="G88" i="346"/>
  <c r="F88" i="346"/>
  <c r="E88" i="346"/>
  <c r="D88" i="346"/>
  <c r="C88" i="346"/>
  <c r="B88" i="346"/>
  <c r="AG87" i="346"/>
  <c r="AF87" i="346"/>
  <c r="AE87" i="346"/>
  <c r="AD87" i="346"/>
  <c r="AC87" i="346"/>
  <c r="AB87" i="346"/>
  <c r="AA87" i="346"/>
  <c r="Z87" i="346"/>
  <c r="Y87" i="346"/>
  <c r="X87" i="346"/>
  <c r="W87" i="346"/>
  <c r="V87" i="346"/>
  <c r="U87" i="346"/>
  <c r="T87" i="346"/>
  <c r="S87" i="346"/>
  <c r="R87" i="346"/>
  <c r="Q87" i="346"/>
  <c r="P87" i="346"/>
  <c r="O87" i="346"/>
  <c r="N87" i="346"/>
  <c r="M87" i="346"/>
  <c r="L87" i="346"/>
  <c r="K87" i="346"/>
  <c r="J87" i="346"/>
  <c r="I87" i="346"/>
  <c r="H87" i="346"/>
  <c r="G87" i="346"/>
  <c r="F87" i="346"/>
  <c r="E87" i="346"/>
  <c r="D87" i="346"/>
  <c r="C87" i="346"/>
  <c r="B87" i="346"/>
  <c r="AG86" i="346"/>
  <c r="AF86" i="346"/>
  <c r="AE86" i="346"/>
  <c r="AD86" i="346"/>
  <c r="AC86" i="346"/>
  <c r="AB86" i="346"/>
  <c r="AA86" i="346"/>
  <c r="Z86" i="346"/>
  <c r="Y86" i="346"/>
  <c r="X86" i="346"/>
  <c r="W86" i="346"/>
  <c r="V86" i="346"/>
  <c r="U86" i="346"/>
  <c r="T86" i="346"/>
  <c r="S86" i="346"/>
  <c r="R86" i="346"/>
  <c r="Q86" i="346"/>
  <c r="P86" i="346"/>
  <c r="O86" i="346"/>
  <c r="N86" i="346"/>
  <c r="M86" i="346"/>
  <c r="L86" i="346"/>
  <c r="K86" i="346"/>
  <c r="J86" i="346"/>
  <c r="I86" i="346"/>
  <c r="H86" i="346"/>
  <c r="G86" i="346"/>
  <c r="F86" i="346"/>
  <c r="E86" i="346"/>
  <c r="D86" i="346"/>
  <c r="C86" i="346"/>
  <c r="B86" i="346"/>
  <c r="AG85" i="346"/>
  <c r="AF85" i="346"/>
  <c r="AE85" i="346"/>
  <c r="AD85" i="346"/>
  <c r="AC85" i="346"/>
  <c r="AB85" i="346"/>
  <c r="AA85" i="346"/>
  <c r="Z85" i="346"/>
  <c r="Y85" i="346"/>
  <c r="X85" i="346"/>
  <c r="W85" i="346"/>
  <c r="V85" i="346"/>
  <c r="U85" i="346"/>
  <c r="T85" i="346"/>
  <c r="S85" i="346"/>
  <c r="R85" i="346"/>
  <c r="Q85" i="346"/>
  <c r="P85" i="346"/>
  <c r="O85" i="346"/>
  <c r="N85" i="346"/>
  <c r="M85" i="346"/>
  <c r="L85" i="346"/>
  <c r="K85" i="346"/>
  <c r="J85" i="346"/>
  <c r="I85" i="346"/>
  <c r="H85" i="346"/>
  <c r="G85" i="346"/>
  <c r="F85" i="346"/>
  <c r="E85" i="346"/>
  <c r="D85" i="346"/>
  <c r="C85" i="346"/>
  <c r="B85" i="346"/>
  <c r="AG84" i="346"/>
  <c r="AF84" i="346"/>
  <c r="AE84" i="346"/>
  <c r="AD84" i="346"/>
  <c r="AC84" i="346"/>
  <c r="AB84" i="346"/>
  <c r="AA84" i="346"/>
  <c r="Z84" i="346"/>
  <c r="Y84" i="346"/>
  <c r="X84" i="346"/>
  <c r="W84" i="346"/>
  <c r="V84" i="346"/>
  <c r="U84" i="346"/>
  <c r="T84" i="346"/>
  <c r="S84" i="346"/>
  <c r="R84" i="346"/>
  <c r="Q84" i="346"/>
  <c r="P84" i="346"/>
  <c r="O84" i="346"/>
  <c r="N84" i="346"/>
  <c r="M84" i="346"/>
  <c r="L84" i="346"/>
  <c r="K84" i="346"/>
  <c r="J84" i="346"/>
  <c r="I84" i="346"/>
  <c r="H84" i="346"/>
  <c r="G84" i="346"/>
  <c r="F84" i="346"/>
  <c r="E84" i="346"/>
  <c r="D84" i="346"/>
  <c r="C84" i="346"/>
  <c r="B84" i="346"/>
  <c r="AG83" i="346"/>
  <c r="AF83" i="346"/>
  <c r="AE83" i="346"/>
  <c r="AD83" i="346"/>
  <c r="AC83" i="346"/>
  <c r="AB83" i="346"/>
  <c r="AA83" i="346"/>
  <c r="Z83" i="346"/>
  <c r="Y83" i="346"/>
  <c r="X83" i="346"/>
  <c r="W83" i="346"/>
  <c r="V83" i="346"/>
  <c r="U83" i="346"/>
  <c r="T83" i="346"/>
  <c r="S83" i="346"/>
  <c r="R83" i="346"/>
  <c r="Q83" i="346"/>
  <c r="P83" i="346"/>
  <c r="O83" i="346"/>
  <c r="N83" i="346"/>
  <c r="M83" i="346"/>
  <c r="L83" i="346"/>
  <c r="K83" i="346"/>
  <c r="J83" i="346"/>
  <c r="I83" i="346"/>
  <c r="H83" i="346"/>
  <c r="G83" i="346"/>
  <c r="F83" i="346"/>
  <c r="E83" i="346"/>
  <c r="D83" i="346"/>
  <c r="C83" i="346"/>
  <c r="B83" i="346"/>
  <c r="AG82" i="346"/>
  <c r="AF82" i="346"/>
  <c r="AE82" i="346"/>
  <c r="AD82" i="346"/>
  <c r="AC82" i="346"/>
  <c r="AB82" i="346"/>
  <c r="AA82" i="346"/>
  <c r="Z82" i="346"/>
  <c r="Y82" i="346"/>
  <c r="X82" i="346"/>
  <c r="W82" i="346"/>
  <c r="V82" i="346"/>
  <c r="U82" i="346"/>
  <c r="T82" i="346"/>
  <c r="S82" i="346"/>
  <c r="R82" i="346"/>
  <c r="Q82" i="346"/>
  <c r="P82" i="346"/>
  <c r="O82" i="346"/>
  <c r="N82" i="346"/>
  <c r="M82" i="346"/>
  <c r="L82" i="346"/>
  <c r="K82" i="346"/>
  <c r="J82" i="346"/>
  <c r="I82" i="346"/>
  <c r="H82" i="346"/>
  <c r="G82" i="346"/>
  <c r="F82" i="346"/>
  <c r="E82" i="346"/>
  <c r="D82" i="346"/>
  <c r="C82" i="346"/>
  <c r="B82" i="346"/>
  <c r="AG81" i="346"/>
  <c r="AF81" i="346"/>
  <c r="AE81" i="346"/>
  <c r="AD81" i="346"/>
  <c r="AC81" i="346"/>
  <c r="AB81" i="346"/>
  <c r="AA81" i="346"/>
  <c r="Z81" i="346"/>
  <c r="Y81" i="346"/>
  <c r="X81" i="346"/>
  <c r="W81" i="346"/>
  <c r="V81" i="346"/>
  <c r="U81" i="346"/>
  <c r="T81" i="346"/>
  <c r="S81" i="346"/>
  <c r="R81" i="346"/>
  <c r="Q81" i="346"/>
  <c r="P81" i="346"/>
  <c r="O81" i="346"/>
  <c r="N81" i="346"/>
  <c r="M81" i="346"/>
  <c r="L81" i="346"/>
  <c r="K81" i="346"/>
  <c r="J81" i="346"/>
  <c r="I81" i="346"/>
  <c r="H81" i="346"/>
  <c r="G81" i="346"/>
  <c r="F81" i="346"/>
  <c r="E81" i="346"/>
  <c r="D81" i="346"/>
  <c r="C81" i="346"/>
  <c r="B81" i="346"/>
  <c r="AG80" i="346"/>
  <c r="AF80" i="346"/>
  <c r="AE80" i="346"/>
  <c r="AD80" i="346"/>
  <c r="AC80" i="346"/>
  <c r="AB80" i="346"/>
  <c r="AA80" i="346"/>
  <c r="Z80" i="346"/>
  <c r="Y80" i="346"/>
  <c r="X80" i="346"/>
  <c r="W80" i="346"/>
  <c r="V80" i="346"/>
  <c r="U80" i="346"/>
  <c r="T80" i="346"/>
  <c r="S80" i="346"/>
  <c r="R80" i="346"/>
  <c r="Q80" i="346"/>
  <c r="P80" i="346"/>
  <c r="O80" i="346"/>
  <c r="N80" i="346"/>
  <c r="M80" i="346"/>
  <c r="L80" i="346"/>
  <c r="K80" i="346"/>
  <c r="J80" i="346"/>
  <c r="I80" i="346"/>
  <c r="H80" i="346"/>
  <c r="G80" i="346"/>
  <c r="F80" i="346"/>
  <c r="E80" i="346"/>
  <c r="D80" i="346"/>
  <c r="C80" i="346"/>
  <c r="B80" i="346"/>
  <c r="AG79" i="346"/>
  <c r="AF79" i="346"/>
  <c r="AE79" i="346"/>
  <c r="AD79" i="346"/>
  <c r="AC79" i="346"/>
  <c r="AB79" i="346"/>
  <c r="AA79" i="346"/>
  <c r="Z79" i="346"/>
  <c r="Y79" i="346"/>
  <c r="X79" i="346"/>
  <c r="W79" i="346"/>
  <c r="V79" i="346"/>
  <c r="U79" i="346"/>
  <c r="T79" i="346"/>
  <c r="S79" i="346"/>
  <c r="R79" i="346"/>
  <c r="Q79" i="346"/>
  <c r="P79" i="346"/>
  <c r="O79" i="346"/>
  <c r="N79" i="346"/>
  <c r="M79" i="346"/>
  <c r="L79" i="346"/>
  <c r="K79" i="346"/>
  <c r="J79" i="346"/>
  <c r="I79" i="346"/>
  <c r="H79" i="346"/>
  <c r="G79" i="346"/>
  <c r="F79" i="346"/>
  <c r="E79" i="346"/>
  <c r="D79" i="346"/>
  <c r="C79" i="346"/>
  <c r="B79" i="346"/>
  <c r="AB58" i="346"/>
  <c r="AJ49" i="346"/>
  <c r="AH49" i="346" a="1"/>
  <c r="AH49" i="346" s="1"/>
  <c r="AI49" i="346" s="1"/>
  <c r="A49" i="346"/>
  <c r="AJ48" i="346"/>
  <c r="AH48" i="346" a="1"/>
  <c r="AH48" i="346" s="1"/>
  <c r="AI48" i="346" s="1"/>
  <c r="A48" i="346"/>
  <c r="AJ47" i="346"/>
  <c r="AH47" i="346" a="1"/>
  <c r="AH47" i="346" s="1"/>
  <c r="AI47" i="346" s="1"/>
  <c r="A47" i="346"/>
  <c r="AJ46" i="346"/>
  <c r="AI46" i="346"/>
  <c r="AH46" i="346"/>
  <c r="AH46" i="346" a="1"/>
  <c r="A46" i="346"/>
  <c r="AJ45" i="346"/>
  <c r="AH45" i="346" a="1"/>
  <c r="AH45" i="346" s="1"/>
  <c r="AI45" i="346" s="1"/>
  <c r="A45" i="346"/>
  <c r="AJ44" i="346"/>
  <c r="AI44" i="346"/>
  <c r="AH44" i="346"/>
  <c r="AH44" i="346" a="1"/>
  <c r="A44" i="346"/>
  <c r="AJ43" i="346"/>
  <c r="AH43" i="346"/>
  <c r="AI43" i="346" s="1"/>
  <c r="AH43" i="346" a="1"/>
  <c r="A43" i="346"/>
  <c r="AJ42" i="346"/>
  <c r="AH42" i="346" a="1"/>
  <c r="AH42" i="346" s="1"/>
  <c r="AI42" i="346" s="1"/>
  <c r="A42" i="346"/>
  <c r="AJ41" i="346"/>
  <c r="AH41" i="346" a="1"/>
  <c r="AH41" i="346" s="1"/>
  <c r="AI41" i="346" s="1"/>
  <c r="A41" i="346"/>
  <c r="AJ40" i="346"/>
  <c r="AI40" i="346"/>
  <c r="AH40" i="346" a="1"/>
  <c r="AH40" i="346" s="1"/>
  <c r="A40" i="346"/>
  <c r="AJ39" i="346"/>
  <c r="AH39" i="346"/>
  <c r="AI39" i="346" s="1"/>
  <c r="AH39" i="346" a="1"/>
  <c r="A39" i="346"/>
  <c r="AJ38" i="346"/>
  <c r="AH38" i="346" a="1"/>
  <c r="AH38" i="346" s="1"/>
  <c r="AI38" i="346" s="1"/>
  <c r="A38" i="346"/>
  <c r="AJ37" i="346"/>
  <c r="AH37" i="346"/>
  <c r="AI37" i="346" s="1"/>
  <c r="AH37" i="346" a="1"/>
  <c r="A37" i="346"/>
  <c r="AJ36" i="346"/>
  <c r="AH36" i="346" a="1"/>
  <c r="AH36" i="346" s="1"/>
  <c r="AI36" i="346" s="1"/>
  <c r="A36" i="346"/>
  <c r="AJ35" i="346"/>
  <c r="AH35" i="346"/>
  <c r="AI35" i="346" s="1"/>
  <c r="AH35" i="346" a="1"/>
  <c r="A35" i="346"/>
  <c r="AJ34" i="346"/>
  <c r="AH34" i="346" a="1"/>
  <c r="AH34" i="346" s="1"/>
  <c r="AI34" i="346" s="1"/>
  <c r="A34" i="346"/>
  <c r="AJ33" i="346"/>
  <c r="AI33" i="346"/>
  <c r="AH33" i="346"/>
  <c r="AH33" i="346" a="1"/>
  <c r="A33" i="346"/>
  <c r="AJ32" i="346"/>
  <c r="AH32" i="346" a="1"/>
  <c r="AH32" i="346" s="1"/>
  <c r="AI32" i="346" s="1"/>
  <c r="A32" i="346"/>
  <c r="AJ31" i="346"/>
  <c r="AH31" i="346" a="1"/>
  <c r="AH31" i="346" s="1"/>
  <c r="AI31" i="346" s="1"/>
  <c r="A31" i="346"/>
  <c r="AJ30" i="346"/>
  <c r="AI30" i="346"/>
  <c r="AH30" i="346"/>
  <c r="AH30" i="346" a="1"/>
  <c r="A30" i="346"/>
  <c r="AJ29" i="346"/>
  <c r="AH29" i="346" a="1"/>
  <c r="AH29" i="346" s="1"/>
  <c r="AI29" i="346" s="1"/>
  <c r="A29" i="346"/>
  <c r="AJ28" i="346"/>
  <c r="AI28" i="346"/>
  <c r="AH28" i="346" a="1"/>
  <c r="AH28" i="346" s="1"/>
  <c r="A28" i="346"/>
  <c r="AJ27" i="346"/>
  <c r="AH27" i="346"/>
  <c r="AI27" i="346" s="1"/>
  <c r="AH27" i="346" a="1"/>
  <c r="A27" i="346"/>
  <c r="AK26" i="346"/>
  <c r="AJ26" i="346"/>
  <c r="AH26" i="346" a="1"/>
  <c r="AH26" i="346" s="1"/>
  <c r="A26" i="346"/>
  <c r="AJ25" i="346"/>
  <c r="AH25" i="346" a="1"/>
  <c r="AH25" i="346" s="1"/>
  <c r="AI25" i="346" s="1"/>
  <c r="A25" i="346"/>
  <c r="AK24" i="346"/>
  <c r="AJ24" i="346"/>
  <c r="AI24" i="346"/>
  <c r="AH24" i="346" a="1"/>
  <c r="AH24" i="346" s="1"/>
  <c r="A24" i="346"/>
  <c r="AK23" i="346"/>
  <c r="AJ23" i="346"/>
  <c r="AH23" i="346" a="1"/>
  <c r="AH23" i="346" s="1"/>
  <c r="A23" i="346"/>
  <c r="AK22" i="346"/>
  <c r="AJ22" i="346"/>
  <c r="AH22" i="346" a="1"/>
  <c r="AH22" i="346" s="1"/>
  <c r="AI22" i="346" s="1"/>
  <c r="A22" i="346"/>
  <c r="AK21" i="346"/>
  <c r="AJ21" i="346"/>
  <c r="AH21" i="346"/>
  <c r="AI21" i="346" s="1"/>
  <c r="AO21" i="346" s="1"/>
  <c r="AP21" i="346" s="1"/>
  <c r="AH21" i="346" a="1"/>
  <c r="A21" i="346"/>
  <c r="AK20" i="346"/>
  <c r="AJ20" i="346"/>
  <c r="AH20" i="346" a="1"/>
  <c r="AH20" i="346" s="1"/>
  <c r="A20" i="346"/>
  <c r="AO19" i="346"/>
  <c r="AP19" i="346" s="1"/>
  <c r="AK19" i="346"/>
  <c r="AJ19" i="346"/>
  <c r="AH19" i="346"/>
  <c r="AI19" i="346" s="1"/>
  <c r="AH19" i="346" a="1"/>
  <c r="A19" i="346"/>
  <c r="AK18" i="346"/>
  <c r="AJ18" i="346"/>
  <c r="AH18" i="346" a="1"/>
  <c r="AH18" i="346" s="1"/>
  <c r="A18" i="346"/>
  <c r="AK17" i="346"/>
  <c r="AJ17" i="346"/>
  <c r="AH17" i="346"/>
  <c r="AI17" i="346" s="1"/>
  <c r="AO17" i="346" s="1"/>
  <c r="AP17" i="346" s="1"/>
  <c r="AH17" i="346" a="1"/>
  <c r="A17" i="346"/>
  <c r="AK16" i="346"/>
  <c r="AJ16" i="346"/>
  <c r="AI16" i="346"/>
  <c r="AH16" i="346" a="1"/>
  <c r="AH16" i="346" s="1"/>
  <c r="A16" i="346"/>
  <c r="AK15" i="346"/>
  <c r="AJ15" i="346"/>
  <c r="AH15" i="346"/>
  <c r="AH15" i="346" a="1"/>
  <c r="A15" i="346"/>
  <c r="AK14" i="346"/>
  <c r="AJ14" i="346"/>
  <c r="AI14" i="346"/>
  <c r="AH14" i="346" a="1"/>
  <c r="AH14" i="346" s="1"/>
  <c r="A14" i="346"/>
  <c r="AK13" i="346"/>
  <c r="AJ13" i="346"/>
  <c r="AH13" i="346" a="1"/>
  <c r="AH13" i="346" s="1"/>
  <c r="A13" i="346"/>
  <c r="AK12" i="346"/>
  <c r="AJ12" i="346"/>
  <c r="AI12" i="346"/>
  <c r="AH12" i="346" a="1"/>
  <c r="AH12" i="346" s="1"/>
  <c r="A12" i="346"/>
  <c r="AK11" i="346"/>
  <c r="AO11" i="346" s="1"/>
  <c r="AP11" i="346" s="1"/>
  <c r="AJ11" i="346"/>
  <c r="AI11" i="346"/>
  <c r="AH11" i="346"/>
  <c r="AH11" i="346" a="1"/>
  <c r="A11" i="346"/>
  <c r="AK10" i="346"/>
  <c r="AJ10" i="346"/>
  <c r="AI10" i="346"/>
  <c r="AH10" i="346" a="1"/>
  <c r="AH10" i="346" s="1"/>
  <c r="A10" i="346"/>
  <c r="C4" i="346"/>
  <c r="L3" i="346"/>
  <c r="X7" i="346" s="1"/>
  <c r="X78" i="346" s="1"/>
  <c r="K1" i="346"/>
  <c r="C94" i="345"/>
  <c r="AG88" i="345"/>
  <c r="AF88" i="345"/>
  <c r="AE88" i="345"/>
  <c r="AD88" i="345"/>
  <c r="AC88" i="345"/>
  <c r="AB88" i="345"/>
  <c r="AA88" i="345"/>
  <c r="Z88" i="345"/>
  <c r="Y88" i="345"/>
  <c r="X88" i="345"/>
  <c r="W88" i="345"/>
  <c r="V88" i="345"/>
  <c r="U88" i="345"/>
  <c r="T88" i="345"/>
  <c r="S88" i="345"/>
  <c r="R88" i="345"/>
  <c r="Q88" i="345"/>
  <c r="P88" i="345"/>
  <c r="O88" i="345"/>
  <c r="N88" i="345"/>
  <c r="M88" i="345"/>
  <c r="L88" i="345"/>
  <c r="K88" i="345"/>
  <c r="J88" i="345"/>
  <c r="I88" i="345"/>
  <c r="H88" i="345"/>
  <c r="G88" i="345"/>
  <c r="F88" i="345"/>
  <c r="E88" i="345"/>
  <c r="D88" i="345"/>
  <c r="C88" i="345"/>
  <c r="B88" i="345"/>
  <c r="AG87" i="345"/>
  <c r="AF87" i="345"/>
  <c r="AE87" i="345"/>
  <c r="AD87" i="345"/>
  <c r="AC87" i="345"/>
  <c r="AB87" i="345"/>
  <c r="AA87" i="345"/>
  <c r="Z87" i="345"/>
  <c r="Y87" i="345"/>
  <c r="X87" i="345"/>
  <c r="W87" i="345"/>
  <c r="V87" i="345"/>
  <c r="U87" i="345"/>
  <c r="T87" i="345"/>
  <c r="S87" i="345"/>
  <c r="R87" i="345"/>
  <c r="Q87" i="345"/>
  <c r="P87" i="345"/>
  <c r="O87" i="345"/>
  <c r="N87" i="345"/>
  <c r="M87" i="345"/>
  <c r="L87" i="345"/>
  <c r="K87" i="345"/>
  <c r="J87" i="345"/>
  <c r="I87" i="345"/>
  <c r="H87" i="345"/>
  <c r="G87" i="345"/>
  <c r="F87" i="345"/>
  <c r="E87" i="345"/>
  <c r="D87" i="345"/>
  <c r="C87" i="345"/>
  <c r="B87" i="345"/>
  <c r="AG86" i="345"/>
  <c r="AF86" i="345"/>
  <c r="AE86" i="345"/>
  <c r="AD86" i="345"/>
  <c r="AC86" i="345"/>
  <c r="AB86" i="345"/>
  <c r="AA86" i="345"/>
  <c r="Z86" i="345"/>
  <c r="Y86" i="345"/>
  <c r="X86" i="345"/>
  <c r="W86" i="345"/>
  <c r="V86" i="345"/>
  <c r="U86" i="345"/>
  <c r="T86" i="345"/>
  <c r="S86" i="345"/>
  <c r="R86" i="345"/>
  <c r="Q86" i="345"/>
  <c r="P86" i="345"/>
  <c r="O86" i="345"/>
  <c r="N86" i="345"/>
  <c r="M86" i="345"/>
  <c r="L86" i="345"/>
  <c r="K86" i="345"/>
  <c r="J86" i="345"/>
  <c r="I86" i="345"/>
  <c r="H86" i="345"/>
  <c r="G86" i="345"/>
  <c r="F86" i="345"/>
  <c r="E86" i="345"/>
  <c r="D86" i="345"/>
  <c r="C86" i="345"/>
  <c r="B86" i="345"/>
  <c r="AG85" i="345"/>
  <c r="AF85" i="345"/>
  <c r="AE85" i="345"/>
  <c r="AD85" i="345"/>
  <c r="AC85" i="345"/>
  <c r="AB85" i="345"/>
  <c r="AA85" i="345"/>
  <c r="Z85" i="345"/>
  <c r="Y85" i="345"/>
  <c r="X85" i="345"/>
  <c r="W85" i="345"/>
  <c r="V85" i="345"/>
  <c r="U85" i="345"/>
  <c r="T85" i="345"/>
  <c r="S85" i="345"/>
  <c r="R85" i="345"/>
  <c r="Q85" i="345"/>
  <c r="P85" i="345"/>
  <c r="O85" i="345"/>
  <c r="N85" i="345"/>
  <c r="M85" i="345"/>
  <c r="L85" i="345"/>
  <c r="K85" i="345"/>
  <c r="J85" i="345"/>
  <c r="I85" i="345"/>
  <c r="H85" i="345"/>
  <c r="G85" i="345"/>
  <c r="F85" i="345"/>
  <c r="E85" i="345"/>
  <c r="D85" i="345"/>
  <c r="C85" i="345"/>
  <c r="B85" i="345"/>
  <c r="AG84" i="345"/>
  <c r="AF84" i="345"/>
  <c r="AE84" i="345"/>
  <c r="AD84" i="345"/>
  <c r="AC84" i="345"/>
  <c r="AB84" i="345"/>
  <c r="AA84" i="345"/>
  <c r="Z84" i="345"/>
  <c r="Y84" i="345"/>
  <c r="X84" i="345"/>
  <c r="W84" i="345"/>
  <c r="V84" i="345"/>
  <c r="U84" i="345"/>
  <c r="T84" i="345"/>
  <c r="S84" i="345"/>
  <c r="R84" i="345"/>
  <c r="Q84" i="345"/>
  <c r="P84" i="345"/>
  <c r="O84" i="345"/>
  <c r="N84" i="345"/>
  <c r="M84" i="345"/>
  <c r="L84" i="345"/>
  <c r="K84" i="345"/>
  <c r="J84" i="345"/>
  <c r="I84" i="345"/>
  <c r="H84" i="345"/>
  <c r="G84" i="345"/>
  <c r="F84" i="345"/>
  <c r="E84" i="345"/>
  <c r="D84" i="345"/>
  <c r="C84" i="345"/>
  <c r="B84" i="345"/>
  <c r="AG83" i="345"/>
  <c r="AF83" i="345"/>
  <c r="AE83" i="345"/>
  <c r="AD83" i="345"/>
  <c r="AC83" i="345"/>
  <c r="AB83" i="345"/>
  <c r="AA83" i="345"/>
  <c r="Z83" i="345"/>
  <c r="Y83" i="345"/>
  <c r="X83" i="345"/>
  <c r="W83" i="345"/>
  <c r="V83" i="345"/>
  <c r="U83" i="345"/>
  <c r="T83" i="345"/>
  <c r="S83" i="345"/>
  <c r="R83" i="345"/>
  <c r="Q83" i="345"/>
  <c r="P83" i="345"/>
  <c r="O83" i="345"/>
  <c r="N83" i="345"/>
  <c r="M83" i="345"/>
  <c r="L83" i="345"/>
  <c r="K83" i="345"/>
  <c r="J83" i="345"/>
  <c r="I83" i="345"/>
  <c r="H83" i="345"/>
  <c r="G83" i="345"/>
  <c r="F83" i="345"/>
  <c r="E83" i="345"/>
  <c r="D83" i="345"/>
  <c r="C83" i="345"/>
  <c r="B83" i="345"/>
  <c r="AG82" i="345"/>
  <c r="AF82" i="345"/>
  <c r="AE82" i="345"/>
  <c r="AD82" i="345"/>
  <c r="AC82" i="345"/>
  <c r="AB82" i="345"/>
  <c r="AA82" i="345"/>
  <c r="Z82" i="345"/>
  <c r="Y82" i="345"/>
  <c r="X82" i="345"/>
  <c r="W82" i="345"/>
  <c r="V82" i="345"/>
  <c r="U82" i="345"/>
  <c r="T82" i="345"/>
  <c r="S82" i="345"/>
  <c r="R82" i="345"/>
  <c r="Q82" i="345"/>
  <c r="P82" i="345"/>
  <c r="O82" i="345"/>
  <c r="N82" i="345"/>
  <c r="M82" i="345"/>
  <c r="L82" i="345"/>
  <c r="K82" i="345"/>
  <c r="J82" i="345"/>
  <c r="I82" i="345"/>
  <c r="H82" i="345"/>
  <c r="G82" i="345"/>
  <c r="F82" i="345"/>
  <c r="E82" i="345"/>
  <c r="D82" i="345"/>
  <c r="C82" i="345"/>
  <c r="B82" i="345"/>
  <c r="AG81" i="345"/>
  <c r="AF81" i="345"/>
  <c r="AE81" i="345"/>
  <c r="AD81" i="345"/>
  <c r="AC81" i="345"/>
  <c r="AB81" i="345"/>
  <c r="AA81" i="345"/>
  <c r="Z81" i="345"/>
  <c r="Y81" i="345"/>
  <c r="X81" i="345"/>
  <c r="W81" i="345"/>
  <c r="V81" i="345"/>
  <c r="U81" i="345"/>
  <c r="T81" i="345"/>
  <c r="S81" i="345"/>
  <c r="R81" i="345"/>
  <c r="Q81" i="345"/>
  <c r="P81" i="345"/>
  <c r="O81" i="345"/>
  <c r="N81" i="345"/>
  <c r="M81" i="345"/>
  <c r="L81" i="345"/>
  <c r="K81" i="345"/>
  <c r="J81" i="345"/>
  <c r="I81" i="345"/>
  <c r="H81" i="345"/>
  <c r="G81" i="345"/>
  <c r="F81" i="345"/>
  <c r="E81" i="345"/>
  <c r="D81" i="345"/>
  <c r="C81" i="345"/>
  <c r="B81" i="345"/>
  <c r="AG80" i="345"/>
  <c r="AF80" i="345"/>
  <c r="AE80" i="345"/>
  <c r="AD80" i="345"/>
  <c r="AC80" i="345"/>
  <c r="AB80" i="345"/>
  <c r="AA80" i="345"/>
  <c r="Z80" i="345"/>
  <c r="Y80" i="345"/>
  <c r="X80" i="345"/>
  <c r="W80" i="345"/>
  <c r="V80" i="345"/>
  <c r="U80" i="345"/>
  <c r="T80" i="345"/>
  <c r="S80" i="345"/>
  <c r="R80" i="345"/>
  <c r="Q80" i="345"/>
  <c r="P80" i="345"/>
  <c r="O80" i="345"/>
  <c r="N80" i="345"/>
  <c r="M80" i="345"/>
  <c r="L80" i="345"/>
  <c r="K80" i="345"/>
  <c r="J80" i="345"/>
  <c r="I80" i="345"/>
  <c r="H80" i="345"/>
  <c r="G80" i="345"/>
  <c r="F80" i="345"/>
  <c r="E80" i="345"/>
  <c r="D80" i="345"/>
  <c r="C80" i="345"/>
  <c r="B80" i="345"/>
  <c r="AG79" i="345"/>
  <c r="AF79" i="345"/>
  <c r="AE79" i="345"/>
  <c r="AD79" i="345"/>
  <c r="AC79" i="345"/>
  <c r="AB79" i="345"/>
  <c r="AA79" i="345"/>
  <c r="Z79" i="345"/>
  <c r="Y79" i="345"/>
  <c r="X79" i="345"/>
  <c r="W79" i="345"/>
  <c r="V79" i="345"/>
  <c r="U79" i="345"/>
  <c r="T79" i="345"/>
  <c r="S79" i="345"/>
  <c r="R79" i="345"/>
  <c r="Q79" i="345"/>
  <c r="P79" i="345"/>
  <c r="O79" i="345"/>
  <c r="N79" i="345"/>
  <c r="M79" i="345"/>
  <c r="L79" i="345"/>
  <c r="K79" i="345"/>
  <c r="J79" i="345"/>
  <c r="I79" i="345"/>
  <c r="H79" i="345"/>
  <c r="G79" i="345"/>
  <c r="F79" i="345"/>
  <c r="E79" i="345"/>
  <c r="D79" i="345"/>
  <c r="C79" i="345"/>
  <c r="B79" i="345"/>
  <c r="AB58" i="345"/>
  <c r="AJ49" i="345"/>
  <c r="AH49" i="345"/>
  <c r="AI49" i="345" s="1"/>
  <c r="AH49" i="345" a="1"/>
  <c r="A49" i="345"/>
  <c r="AJ48" i="345"/>
  <c r="AH48" i="345" a="1"/>
  <c r="AH48" i="345" s="1"/>
  <c r="AI48" i="345" s="1"/>
  <c r="A48" i="345"/>
  <c r="AJ47" i="345"/>
  <c r="AH47" i="345" a="1"/>
  <c r="AH47" i="345" s="1"/>
  <c r="AI47" i="345" s="1"/>
  <c r="A47" i="345"/>
  <c r="AJ46" i="345"/>
  <c r="AH46" i="345" a="1"/>
  <c r="AH46" i="345" s="1"/>
  <c r="AI46" i="345" s="1"/>
  <c r="A46" i="345"/>
  <c r="AJ45" i="345"/>
  <c r="AI45" i="345"/>
  <c r="AH45" i="345"/>
  <c r="AH45" i="345" a="1"/>
  <c r="A45" i="345"/>
  <c r="AJ44" i="345"/>
  <c r="AH44" i="345" a="1"/>
  <c r="AH44" i="345" s="1"/>
  <c r="AI44" i="345" s="1"/>
  <c r="A44" i="345"/>
  <c r="AJ43" i="345"/>
  <c r="AH43" i="345" a="1"/>
  <c r="AH43" i="345" s="1"/>
  <c r="AI43" i="345" s="1"/>
  <c r="A43" i="345"/>
  <c r="AJ42" i="345"/>
  <c r="AI42" i="345"/>
  <c r="AH42" i="345"/>
  <c r="AH42" i="345" a="1"/>
  <c r="A42" i="345"/>
  <c r="AJ41" i="345"/>
  <c r="AH41" i="345" a="1"/>
  <c r="AH41" i="345" s="1"/>
  <c r="AI41" i="345" s="1"/>
  <c r="A41" i="345"/>
  <c r="AJ40" i="345"/>
  <c r="AH40" i="345" a="1"/>
  <c r="AH40" i="345" s="1"/>
  <c r="AI40" i="345" s="1"/>
  <c r="A40" i="345"/>
  <c r="AJ39" i="345"/>
  <c r="AH39" i="345" a="1"/>
  <c r="AH39" i="345" s="1"/>
  <c r="AI39" i="345" s="1"/>
  <c r="A39" i="345"/>
  <c r="AJ38" i="345"/>
  <c r="AI38" i="345"/>
  <c r="AH38" i="345" a="1"/>
  <c r="AH38" i="345" s="1"/>
  <c r="A38" i="345"/>
  <c r="AJ37" i="345"/>
  <c r="AH37" i="345" a="1"/>
  <c r="AH37" i="345" s="1"/>
  <c r="AI37" i="345" s="1"/>
  <c r="A37" i="345"/>
  <c r="AJ36" i="345"/>
  <c r="AH36" i="345" a="1"/>
  <c r="AH36" i="345" s="1"/>
  <c r="AI36" i="345" s="1"/>
  <c r="A36" i="345"/>
  <c r="AJ35" i="345"/>
  <c r="AH35" i="345"/>
  <c r="AI35" i="345" s="1"/>
  <c r="AH35" i="345" a="1"/>
  <c r="A35" i="345"/>
  <c r="AJ34" i="345"/>
  <c r="AH34" i="345"/>
  <c r="AI34" i="345" s="1"/>
  <c r="AH34" i="345" a="1"/>
  <c r="A34" i="345"/>
  <c r="AJ33" i="345"/>
  <c r="AH33" i="345"/>
  <c r="AI33" i="345" s="1"/>
  <c r="AH33" i="345" a="1"/>
  <c r="A33" i="345"/>
  <c r="AJ32" i="345"/>
  <c r="AH32" i="345" a="1"/>
  <c r="AH32" i="345" s="1"/>
  <c r="AI32" i="345" s="1"/>
  <c r="A32" i="345"/>
  <c r="AJ31" i="345"/>
  <c r="AH31" i="345" a="1"/>
  <c r="AH31" i="345" s="1"/>
  <c r="AI31" i="345" s="1"/>
  <c r="A31" i="345"/>
  <c r="AJ30" i="345"/>
  <c r="AH30" i="345"/>
  <c r="AI30" i="345" s="1"/>
  <c r="AH30" i="345" a="1"/>
  <c r="A30" i="345"/>
  <c r="AJ29" i="345"/>
  <c r="AI29" i="345"/>
  <c r="AH29" i="345"/>
  <c r="AH29" i="345" a="1"/>
  <c r="A29" i="345"/>
  <c r="AJ28" i="345"/>
  <c r="AH28" i="345"/>
  <c r="AI28" i="345" s="1"/>
  <c r="AH28" i="345" a="1"/>
  <c r="A28" i="345"/>
  <c r="AJ27" i="345"/>
  <c r="AH27" i="345" a="1"/>
  <c r="AH27" i="345" s="1"/>
  <c r="AI27" i="345" s="1"/>
  <c r="A27" i="345"/>
  <c r="AK26" i="345"/>
  <c r="AJ26" i="345"/>
  <c r="AH26" i="345"/>
  <c r="AH26" i="345" a="1"/>
  <c r="A26" i="345"/>
  <c r="AJ25" i="345"/>
  <c r="AH25" i="345"/>
  <c r="AI25" i="345" s="1"/>
  <c r="AH25" i="345" a="1"/>
  <c r="A25" i="345"/>
  <c r="AK24" i="345"/>
  <c r="AJ24" i="345"/>
  <c r="AH24" i="345"/>
  <c r="AH24" i="345" a="1"/>
  <c r="A24" i="345"/>
  <c r="AK23" i="345"/>
  <c r="AJ23" i="345"/>
  <c r="AH23" i="345" a="1"/>
  <c r="AH23" i="345" s="1"/>
  <c r="A23" i="345"/>
  <c r="AK22" i="345"/>
  <c r="AJ22" i="345"/>
  <c r="AI22" i="345"/>
  <c r="AH22" i="345"/>
  <c r="AO22" i="345" s="1"/>
  <c r="AP22" i="345" s="1"/>
  <c r="AH22" i="345" a="1"/>
  <c r="A22" i="345"/>
  <c r="AK21" i="345"/>
  <c r="AJ21" i="345"/>
  <c r="AH21" i="345" a="1"/>
  <c r="AH21" i="345" s="1"/>
  <c r="A21" i="345"/>
  <c r="AO20" i="345"/>
  <c r="AP20" i="345" s="1"/>
  <c r="AK20" i="345"/>
  <c r="AJ20" i="345"/>
  <c r="AH20" i="345"/>
  <c r="AI20" i="345" s="1"/>
  <c r="AH20" i="345" a="1"/>
  <c r="A20" i="345"/>
  <c r="AK19" i="345"/>
  <c r="AJ19" i="345"/>
  <c r="AH19" i="345" a="1"/>
  <c r="AH19" i="345" s="1"/>
  <c r="A19" i="345"/>
  <c r="AK18" i="345"/>
  <c r="AJ18" i="345"/>
  <c r="AI18" i="345"/>
  <c r="AH18" i="345"/>
  <c r="AH18" i="345" a="1"/>
  <c r="A18" i="345"/>
  <c r="AK17" i="345"/>
  <c r="AJ17" i="345"/>
  <c r="AH17" i="345" a="1"/>
  <c r="AH17" i="345" s="1"/>
  <c r="A17" i="345"/>
  <c r="AO16" i="345"/>
  <c r="AP16" i="345" s="1"/>
  <c r="AK16" i="345"/>
  <c r="AJ16" i="345"/>
  <c r="AH16" i="345"/>
  <c r="AI16" i="345" s="1"/>
  <c r="AH16" i="345" a="1"/>
  <c r="A16" i="345"/>
  <c r="AK15" i="345"/>
  <c r="AJ15" i="345"/>
  <c r="AH15" i="345" a="1"/>
  <c r="AH15" i="345" s="1"/>
  <c r="A15" i="345"/>
  <c r="AK14" i="345"/>
  <c r="AJ14" i="345"/>
  <c r="AI14" i="345"/>
  <c r="AO14" i="345" s="1"/>
  <c r="AP14" i="345" s="1"/>
  <c r="AH14" i="345"/>
  <c r="AH14" i="345" a="1"/>
  <c r="A14" i="345"/>
  <c r="AK13" i="345"/>
  <c r="AJ13" i="345"/>
  <c r="AH13" i="345" a="1"/>
  <c r="AH13" i="345" s="1"/>
  <c r="A13" i="345"/>
  <c r="AK12" i="345"/>
  <c r="AJ12" i="345"/>
  <c r="AH12" i="345"/>
  <c r="AI12" i="345" s="1"/>
  <c r="AH12" i="345" a="1"/>
  <c r="A12" i="345"/>
  <c r="AK11" i="345"/>
  <c r="AJ11" i="345"/>
  <c r="AH11" i="345"/>
  <c r="AH11" i="345" a="1"/>
  <c r="A11" i="345"/>
  <c r="AK10" i="345"/>
  <c r="AJ10" i="345"/>
  <c r="AH10" i="345" a="1"/>
  <c r="AH10" i="345" s="1"/>
  <c r="AI10" i="345" s="1"/>
  <c r="A10" i="345"/>
  <c r="Z7" i="345"/>
  <c r="Z78" i="345" s="1"/>
  <c r="Y7" i="345"/>
  <c r="Y78" i="345" s="1"/>
  <c r="X7" i="345"/>
  <c r="X78" i="345" s="1"/>
  <c r="C7" i="345"/>
  <c r="C78" i="345" s="1"/>
  <c r="AG6" i="345"/>
  <c r="AD6" i="345"/>
  <c r="W6" i="345"/>
  <c r="V6" i="345"/>
  <c r="U6" i="345"/>
  <c r="C4" i="345"/>
  <c r="L3" i="345"/>
  <c r="K7" i="345" s="1"/>
  <c r="K78" i="345" s="1"/>
  <c r="K1" i="345"/>
  <c r="C94" i="344"/>
  <c r="AG88" i="344"/>
  <c r="AF88" i="344"/>
  <c r="AE88" i="344"/>
  <c r="AD88" i="344"/>
  <c r="AC88" i="344"/>
  <c r="AB88" i="344"/>
  <c r="AA88" i="344"/>
  <c r="Z88" i="344"/>
  <c r="Y88" i="344"/>
  <c r="X88" i="344"/>
  <c r="W88" i="344"/>
  <c r="V88" i="344"/>
  <c r="U88" i="344"/>
  <c r="T88" i="344"/>
  <c r="S88" i="344"/>
  <c r="R88" i="344"/>
  <c r="Q88" i="344"/>
  <c r="P88" i="344"/>
  <c r="O88" i="344"/>
  <c r="N88" i="344"/>
  <c r="M88" i="344"/>
  <c r="L88" i="344"/>
  <c r="K88" i="344"/>
  <c r="J88" i="344"/>
  <c r="I88" i="344"/>
  <c r="H88" i="344"/>
  <c r="G88" i="344"/>
  <c r="F88" i="344"/>
  <c r="E88" i="344"/>
  <c r="D88" i="344"/>
  <c r="C88" i="344"/>
  <c r="B88" i="344"/>
  <c r="AG87" i="344"/>
  <c r="AF87" i="344"/>
  <c r="AE87" i="344"/>
  <c r="AD87" i="344"/>
  <c r="AC87" i="344"/>
  <c r="AB87" i="344"/>
  <c r="AA87" i="344"/>
  <c r="Z87" i="344"/>
  <c r="Y87" i="344"/>
  <c r="X87" i="344"/>
  <c r="W87" i="344"/>
  <c r="V87" i="344"/>
  <c r="U87" i="344"/>
  <c r="T87" i="344"/>
  <c r="S87" i="344"/>
  <c r="R87" i="344"/>
  <c r="Q87" i="344"/>
  <c r="P87" i="344"/>
  <c r="O87" i="344"/>
  <c r="N87" i="344"/>
  <c r="M87" i="344"/>
  <c r="L87" i="344"/>
  <c r="K87" i="344"/>
  <c r="J87" i="344"/>
  <c r="I87" i="344"/>
  <c r="H87" i="344"/>
  <c r="G87" i="344"/>
  <c r="F87" i="344"/>
  <c r="E87" i="344"/>
  <c r="D87" i="344"/>
  <c r="C87" i="344"/>
  <c r="B87" i="344"/>
  <c r="AG86" i="344"/>
  <c r="AF86" i="344"/>
  <c r="AE86" i="344"/>
  <c r="AD86" i="344"/>
  <c r="AC86" i="344"/>
  <c r="AB86" i="344"/>
  <c r="AA86" i="344"/>
  <c r="Z86" i="344"/>
  <c r="Y86" i="344"/>
  <c r="X86" i="344"/>
  <c r="W86" i="344"/>
  <c r="V86" i="344"/>
  <c r="U86" i="344"/>
  <c r="T86" i="344"/>
  <c r="S86" i="344"/>
  <c r="R86" i="344"/>
  <c r="Q86" i="344"/>
  <c r="P86" i="344"/>
  <c r="O86" i="344"/>
  <c r="N86" i="344"/>
  <c r="M86" i="344"/>
  <c r="L86" i="344"/>
  <c r="K86" i="344"/>
  <c r="J86" i="344"/>
  <c r="I86" i="344"/>
  <c r="H86" i="344"/>
  <c r="G86" i="344"/>
  <c r="F86" i="344"/>
  <c r="E86" i="344"/>
  <c r="D86" i="344"/>
  <c r="C86" i="344"/>
  <c r="B86" i="344"/>
  <c r="AG85" i="344"/>
  <c r="AF85" i="344"/>
  <c r="AE85" i="344"/>
  <c r="AD85" i="344"/>
  <c r="AC85" i="344"/>
  <c r="AB85" i="344"/>
  <c r="AA85" i="344"/>
  <c r="Z85" i="344"/>
  <c r="Y85" i="344"/>
  <c r="X85" i="344"/>
  <c r="W85" i="344"/>
  <c r="V85" i="344"/>
  <c r="U85" i="344"/>
  <c r="T85" i="344"/>
  <c r="S85" i="344"/>
  <c r="R85" i="344"/>
  <c r="Q85" i="344"/>
  <c r="P85" i="344"/>
  <c r="O85" i="344"/>
  <c r="N85" i="344"/>
  <c r="M85" i="344"/>
  <c r="L85" i="344"/>
  <c r="K85" i="344"/>
  <c r="J85" i="344"/>
  <c r="I85" i="344"/>
  <c r="H85" i="344"/>
  <c r="G85" i="344"/>
  <c r="F85" i="344"/>
  <c r="E85" i="344"/>
  <c r="D85" i="344"/>
  <c r="C85" i="344"/>
  <c r="B85" i="344"/>
  <c r="AG84" i="344"/>
  <c r="AF84" i="344"/>
  <c r="AE84" i="344"/>
  <c r="AD84" i="344"/>
  <c r="AC84" i="344"/>
  <c r="AB84" i="344"/>
  <c r="AA84" i="344"/>
  <c r="Z84" i="344"/>
  <c r="Y84" i="344"/>
  <c r="X84" i="344"/>
  <c r="W84" i="344"/>
  <c r="V84" i="344"/>
  <c r="U84" i="344"/>
  <c r="T84" i="344"/>
  <c r="S84" i="344"/>
  <c r="R84" i="344"/>
  <c r="Q84" i="344"/>
  <c r="P84" i="344"/>
  <c r="O84" i="344"/>
  <c r="N84" i="344"/>
  <c r="M84" i="344"/>
  <c r="L84" i="344"/>
  <c r="K84" i="344"/>
  <c r="J84" i="344"/>
  <c r="I84" i="344"/>
  <c r="H84" i="344"/>
  <c r="G84" i="344"/>
  <c r="F84" i="344"/>
  <c r="E84" i="344"/>
  <c r="D84" i="344"/>
  <c r="C84" i="344"/>
  <c r="B84" i="344"/>
  <c r="AG83" i="344"/>
  <c r="AF83" i="344"/>
  <c r="AE83" i="344"/>
  <c r="AD83" i="344"/>
  <c r="AC83" i="344"/>
  <c r="AB83" i="344"/>
  <c r="AA83" i="344"/>
  <c r="Z83" i="344"/>
  <c r="Y83" i="344"/>
  <c r="X83" i="344"/>
  <c r="W83" i="344"/>
  <c r="V83" i="344"/>
  <c r="U83" i="344"/>
  <c r="T83" i="344"/>
  <c r="S83" i="344"/>
  <c r="R83" i="344"/>
  <c r="Q83" i="344"/>
  <c r="P83" i="344"/>
  <c r="O83" i="344"/>
  <c r="N83" i="344"/>
  <c r="M83" i="344"/>
  <c r="L83" i="344"/>
  <c r="K83" i="344"/>
  <c r="J83" i="344"/>
  <c r="I83" i="344"/>
  <c r="H83" i="344"/>
  <c r="G83" i="344"/>
  <c r="F83" i="344"/>
  <c r="E83" i="344"/>
  <c r="D83" i="344"/>
  <c r="C83" i="344"/>
  <c r="B83" i="344"/>
  <c r="AG82" i="344"/>
  <c r="AF82" i="344"/>
  <c r="AE82" i="344"/>
  <c r="AD82" i="344"/>
  <c r="AC82" i="344"/>
  <c r="AB82" i="344"/>
  <c r="AA82" i="344"/>
  <c r="Z82" i="344"/>
  <c r="Y82" i="344"/>
  <c r="X82" i="344"/>
  <c r="W82" i="344"/>
  <c r="V82" i="344"/>
  <c r="U82" i="344"/>
  <c r="T82" i="344"/>
  <c r="S82" i="344"/>
  <c r="R82" i="344"/>
  <c r="Q82" i="344"/>
  <c r="P82" i="344"/>
  <c r="O82" i="344"/>
  <c r="N82" i="344"/>
  <c r="M82" i="344"/>
  <c r="L82" i="344"/>
  <c r="K82" i="344"/>
  <c r="J82" i="344"/>
  <c r="I82" i="344"/>
  <c r="H82" i="344"/>
  <c r="G82" i="344"/>
  <c r="F82" i="344"/>
  <c r="E82" i="344"/>
  <c r="D82" i="344"/>
  <c r="C82" i="344"/>
  <c r="B82" i="344"/>
  <c r="AG81" i="344"/>
  <c r="AF81" i="344"/>
  <c r="AE81" i="344"/>
  <c r="AD81" i="344"/>
  <c r="AC81" i="344"/>
  <c r="AB81" i="344"/>
  <c r="AA81" i="344"/>
  <c r="Z81" i="344"/>
  <c r="Y81" i="344"/>
  <c r="X81" i="344"/>
  <c r="W81" i="344"/>
  <c r="V81" i="344"/>
  <c r="U81" i="344"/>
  <c r="T81" i="344"/>
  <c r="S81" i="344"/>
  <c r="R81" i="344"/>
  <c r="Q81" i="344"/>
  <c r="P81" i="344"/>
  <c r="O81" i="344"/>
  <c r="N81" i="344"/>
  <c r="M81" i="344"/>
  <c r="L81" i="344"/>
  <c r="K81" i="344"/>
  <c r="J81" i="344"/>
  <c r="I81" i="344"/>
  <c r="H81" i="344"/>
  <c r="G81" i="344"/>
  <c r="F81" i="344"/>
  <c r="E81" i="344"/>
  <c r="D81" i="344"/>
  <c r="C81" i="344"/>
  <c r="B81" i="344"/>
  <c r="AG80" i="344"/>
  <c r="AF80" i="344"/>
  <c r="AE80" i="344"/>
  <c r="AD80" i="344"/>
  <c r="AC80" i="344"/>
  <c r="AB80" i="344"/>
  <c r="AA80" i="344"/>
  <c r="Z80" i="344"/>
  <c r="Y80" i="344"/>
  <c r="X80" i="344"/>
  <c r="W80" i="344"/>
  <c r="V80" i="344"/>
  <c r="U80" i="344"/>
  <c r="T80" i="344"/>
  <c r="S80" i="344"/>
  <c r="R80" i="344"/>
  <c r="Q80" i="344"/>
  <c r="P80" i="344"/>
  <c r="O80" i="344"/>
  <c r="N80" i="344"/>
  <c r="M80" i="344"/>
  <c r="L80" i="344"/>
  <c r="K80" i="344"/>
  <c r="J80" i="344"/>
  <c r="I80" i="344"/>
  <c r="H80" i="344"/>
  <c r="G80" i="344"/>
  <c r="F80" i="344"/>
  <c r="E80" i="344"/>
  <c r="D80" i="344"/>
  <c r="C80" i="344"/>
  <c r="B80" i="344"/>
  <c r="AG79" i="344"/>
  <c r="AF79" i="344"/>
  <c r="AE79" i="344"/>
  <c r="AD79" i="344"/>
  <c r="AC79" i="344"/>
  <c r="AB79" i="344"/>
  <c r="AA79" i="344"/>
  <c r="Z79" i="344"/>
  <c r="Y79" i="344"/>
  <c r="X79" i="344"/>
  <c r="W79" i="344"/>
  <c r="V79" i="344"/>
  <c r="U79" i="344"/>
  <c r="T79" i="344"/>
  <c r="S79" i="344"/>
  <c r="R79" i="344"/>
  <c r="Q79" i="344"/>
  <c r="P79" i="344"/>
  <c r="O79" i="344"/>
  <c r="N79" i="344"/>
  <c r="M79" i="344"/>
  <c r="L79" i="344"/>
  <c r="K79" i="344"/>
  <c r="J79" i="344"/>
  <c r="I79" i="344"/>
  <c r="H79" i="344"/>
  <c r="G79" i="344"/>
  <c r="F79" i="344"/>
  <c r="E79" i="344"/>
  <c r="D79" i="344"/>
  <c r="C79" i="344"/>
  <c r="B79" i="344"/>
  <c r="AB58" i="344"/>
  <c r="AJ49" i="344"/>
  <c r="AH49" i="344" a="1"/>
  <c r="AH49" i="344" s="1"/>
  <c r="AI49" i="344" s="1"/>
  <c r="A49" i="344"/>
  <c r="AJ48" i="344"/>
  <c r="AI48" i="344"/>
  <c r="AH48" i="344" a="1"/>
  <c r="AH48" i="344" s="1"/>
  <c r="A48" i="344"/>
  <c r="AJ47" i="344"/>
  <c r="AH47" i="344"/>
  <c r="AI47" i="344" s="1"/>
  <c r="AH47" i="344" a="1"/>
  <c r="A47" i="344"/>
  <c r="AJ46" i="344"/>
  <c r="AH46" i="344"/>
  <c r="AI46" i="344" s="1"/>
  <c r="AH46" i="344" a="1"/>
  <c r="A46" i="344"/>
  <c r="AJ45" i="344"/>
  <c r="AH45" i="344"/>
  <c r="AI45" i="344" s="1"/>
  <c r="AH45" i="344" a="1"/>
  <c r="A45" i="344"/>
  <c r="AJ44" i="344"/>
  <c r="AI44" i="344"/>
  <c r="AH44" i="344" a="1"/>
  <c r="AH44" i="344" s="1"/>
  <c r="A44" i="344"/>
  <c r="AJ43" i="344"/>
  <c r="AI43" i="344"/>
  <c r="AH43" i="344"/>
  <c r="AH43" i="344" a="1"/>
  <c r="A43" i="344"/>
  <c r="AJ42" i="344"/>
  <c r="AH42" i="344" a="1"/>
  <c r="AH42" i="344" s="1"/>
  <c r="AI42" i="344" s="1"/>
  <c r="A42" i="344"/>
  <c r="AJ41" i="344"/>
  <c r="AI41" i="344"/>
  <c r="AH41" i="344"/>
  <c r="AH41" i="344" a="1"/>
  <c r="A41" i="344"/>
  <c r="AJ40" i="344"/>
  <c r="AH40" i="344" a="1"/>
  <c r="AH40" i="344" s="1"/>
  <c r="AI40" i="344" s="1"/>
  <c r="A40" i="344"/>
  <c r="AJ39" i="344"/>
  <c r="AI39" i="344"/>
  <c r="AH39" i="344"/>
  <c r="AH39" i="344" a="1"/>
  <c r="A39" i="344"/>
  <c r="AJ38" i="344"/>
  <c r="AH38" i="344"/>
  <c r="AI38" i="344" s="1"/>
  <c r="AH38" i="344" a="1"/>
  <c r="A38" i="344"/>
  <c r="AJ37" i="344"/>
  <c r="AH37" i="344" a="1"/>
  <c r="AH37" i="344" s="1"/>
  <c r="AI37" i="344" s="1"/>
  <c r="A37" i="344"/>
  <c r="AJ36" i="344"/>
  <c r="AH36" i="344"/>
  <c r="AI36" i="344" s="1"/>
  <c r="AH36" i="344" a="1"/>
  <c r="A36" i="344"/>
  <c r="AJ35" i="344"/>
  <c r="AH35" i="344"/>
  <c r="AI35" i="344" s="1"/>
  <c r="AH35" i="344" a="1"/>
  <c r="A35" i="344"/>
  <c r="AJ34" i="344"/>
  <c r="AH34" i="344" a="1"/>
  <c r="AH34" i="344" s="1"/>
  <c r="AI34" i="344" s="1"/>
  <c r="A34" i="344"/>
  <c r="AJ33" i="344"/>
  <c r="AH33" i="344" a="1"/>
  <c r="AH33" i="344" s="1"/>
  <c r="AI33" i="344" s="1"/>
  <c r="A33" i="344"/>
  <c r="AJ32" i="344"/>
  <c r="AI32" i="344"/>
  <c r="AH32" i="344" a="1"/>
  <c r="AH32" i="344" s="1"/>
  <c r="A32" i="344"/>
  <c r="AJ31" i="344"/>
  <c r="AH31" i="344"/>
  <c r="AI31" i="344" s="1"/>
  <c r="AH31" i="344" a="1"/>
  <c r="A31" i="344"/>
  <c r="AJ30" i="344"/>
  <c r="AH30" i="344" a="1"/>
  <c r="AH30" i="344" s="1"/>
  <c r="AI30" i="344" s="1"/>
  <c r="A30" i="344"/>
  <c r="AJ29" i="344"/>
  <c r="AH29" i="344"/>
  <c r="AI29" i="344" s="1"/>
  <c r="AH29" i="344" a="1"/>
  <c r="A29" i="344"/>
  <c r="AJ28" i="344"/>
  <c r="AI28" i="344"/>
  <c r="AH28" i="344" a="1"/>
  <c r="AH28" i="344" s="1"/>
  <c r="A28" i="344"/>
  <c r="AJ27" i="344"/>
  <c r="AH27" i="344" a="1"/>
  <c r="AH27" i="344" s="1"/>
  <c r="AI27" i="344" s="1"/>
  <c r="A27" i="344"/>
  <c r="AK26" i="344"/>
  <c r="AJ26" i="344"/>
  <c r="AH26" i="344" a="1"/>
  <c r="AH26" i="344" s="1"/>
  <c r="A26" i="344"/>
  <c r="AJ25" i="344"/>
  <c r="AH25" i="344"/>
  <c r="AI25" i="344" s="1"/>
  <c r="AH25" i="344" a="1"/>
  <c r="A25" i="344"/>
  <c r="AK24" i="344"/>
  <c r="AJ24" i="344"/>
  <c r="AH24" i="344" a="1"/>
  <c r="AH24" i="344" s="1"/>
  <c r="A24" i="344"/>
  <c r="AK23" i="344"/>
  <c r="AJ23" i="344"/>
  <c r="AH23" i="344"/>
  <c r="AH23" i="344" a="1"/>
  <c r="A23" i="344"/>
  <c r="AK22" i="344"/>
  <c r="AJ22" i="344"/>
  <c r="AH22" i="344" a="1"/>
  <c r="AH22" i="344" s="1"/>
  <c r="A22" i="344"/>
  <c r="AK21" i="344"/>
  <c r="AJ21" i="344"/>
  <c r="AH21" i="344"/>
  <c r="AI21" i="344" s="1"/>
  <c r="AH21" i="344" a="1"/>
  <c r="A21" i="344"/>
  <c r="AO20" i="344"/>
  <c r="AP20" i="344" s="1"/>
  <c r="AK20" i="344"/>
  <c r="AJ20" i="344"/>
  <c r="AI20" i="344"/>
  <c r="AH20" i="344"/>
  <c r="AH20" i="344" a="1"/>
  <c r="A20" i="344"/>
  <c r="AK19" i="344"/>
  <c r="AJ19" i="344"/>
  <c r="AH19" i="344" a="1"/>
  <c r="AH19" i="344" s="1"/>
  <c r="A19" i="344"/>
  <c r="AK18" i="344"/>
  <c r="AJ18" i="344"/>
  <c r="AJ50" i="344" s="1"/>
  <c r="AH18" i="344" a="1"/>
  <c r="AH18" i="344" s="1"/>
  <c r="AI18" i="344" s="1"/>
  <c r="A18" i="344"/>
  <c r="AK17" i="344"/>
  <c r="AJ17" i="344"/>
  <c r="AH17" i="344" a="1"/>
  <c r="AH17" i="344" s="1"/>
  <c r="A17" i="344"/>
  <c r="AK16" i="344"/>
  <c r="AJ16" i="344"/>
  <c r="AH16" i="344" a="1"/>
  <c r="AH16" i="344" s="1"/>
  <c r="A16" i="344"/>
  <c r="AK15" i="344"/>
  <c r="AJ15" i="344"/>
  <c r="AH15" i="344" a="1"/>
  <c r="AH15" i="344" s="1"/>
  <c r="A15" i="344"/>
  <c r="AK14" i="344"/>
  <c r="AJ14" i="344"/>
  <c r="AH14" i="344" a="1"/>
  <c r="AH14" i="344" s="1"/>
  <c r="A14" i="344"/>
  <c r="AK13" i="344"/>
  <c r="AJ13" i="344"/>
  <c r="AH13" i="344" a="1"/>
  <c r="AH13" i="344" s="1"/>
  <c r="A13" i="344"/>
  <c r="AK12" i="344"/>
  <c r="AJ12" i="344"/>
  <c r="AH12" i="344" a="1"/>
  <c r="AH12" i="344" s="1"/>
  <c r="A12" i="344"/>
  <c r="AK11" i="344"/>
  <c r="AK50" i="344" s="1"/>
  <c r="AJ11" i="344"/>
  <c r="AH11" i="344" a="1"/>
  <c r="AH11" i="344" s="1"/>
  <c r="AI11" i="344" s="1"/>
  <c r="A11" i="344"/>
  <c r="AK10" i="344"/>
  <c r="AJ10" i="344"/>
  <c r="AH10" i="344" a="1"/>
  <c r="AH10" i="344" s="1"/>
  <c r="A10" i="344"/>
  <c r="T7" i="344"/>
  <c r="T78" i="344" s="1"/>
  <c r="S7" i="344"/>
  <c r="S78" i="344" s="1"/>
  <c r="P7" i="344"/>
  <c r="P78" i="344" s="1"/>
  <c r="AF6" i="344"/>
  <c r="AF8" i="344" s="1"/>
  <c r="AE6" i="344"/>
  <c r="AE8" i="344" s="1"/>
  <c r="AC6" i="344"/>
  <c r="AB6" i="344"/>
  <c r="AB8" i="344" s="1"/>
  <c r="X6" i="344"/>
  <c r="C4" i="344"/>
  <c r="L3" i="344"/>
  <c r="Z7" i="344" s="1"/>
  <c r="Z78" i="344" s="1"/>
  <c r="K1" i="344"/>
  <c r="C94" i="343"/>
  <c r="AG88" i="343"/>
  <c r="AF88" i="343"/>
  <c r="AE88" i="343"/>
  <c r="AD88" i="343"/>
  <c r="AC88" i="343"/>
  <c r="AB88" i="343"/>
  <c r="AA88" i="343"/>
  <c r="Z88" i="343"/>
  <c r="Y88" i="343"/>
  <c r="X88" i="343"/>
  <c r="W88" i="343"/>
  <c r="V88" i="343"/>
  <c r="U88" i="343"/>
  <c r="T88" i="343"/>
  <c r="S88" i="343"/>
  <c r="R88" i="343"/>
  <c r="Q88" i="343"/>
  <c r="P88" i="343"/>
  <c r="O88" i="343"/>
  <c r="N88" i="343"/>
  <c r="M88" i="343"/>
  <c r="L88" i="343"/>
  <c r="K88" i="343"/>
  <c r="J88" i="343"/>
  <c r="I88" i="343"/>
  <c r="H88" i="343"/>
  <c r="G88" i="343"/>
  <c r="F88" i="343"/>
  <c r="E88" i="343"/>
  <c r="D88" i="343"/>
  <c r="C88" i="343"/>
  <c r="B88" i="343"/>
  <c r="AG87" i="343"/>
  <c r="AF87" i="343"/>
  <c r="AE87" i="343"/>
  <c r="AD87" i="343"/>
  <c r="AC87" i="343"/>
  <c r="AB87" i="343"/>
  <c r="AA87" i="343"/>
  <c r="Z87" i="343"/>
  <c r="Y87" i="343"/>
  <c r="X87" i="343"/>
  <c r="W87" i="343"/>
  <c r="V87" i="343"/>
  <c r="U87" i="343"/>
  <c r="T87" i="343"/>
  <c r="S87" i="343"/>
  <c r="R87" i="343"/>
  <c r="Q87" i="343"/>
  <c r="P87" i="343"/>
  <c r="O87" i="343"/>
  <c r="N87" i="343"/>
  <c r="M87" i="343"/>
  <c r="L87" i="343"/>
  <c r="K87" i="343"/>
  <c r="J87" i="343"/>
  <c r="I87" i="343"/>
  <c r="H87" i="343"/>
  <c r="G87" i="343"/>
  <c r="F87" i="343"/>
  <c r="E87" i="343"/>
  <c r="D87" i="343"/>
  <c r="C87" i="343"/>
  <c r="B87" i="343"/>
  <c r="AG86" i="343"/>
  <c r="AF86" i="343"/>
  <c r="AE86" i="343"/>
  <c r="AD86" i="343"/>
  <c r="AC86" i="343"/>
  <c r="AB86" i="343"/>
  <c r="AA86" i="343"/>
  <c r="Z86" i="343"/>
  <c r="Y86" i="343"/>
  <c r="X86" i="343"/>
  <c r="W86" i="343"/>
  <c r="V86" i="343"/>
  <c r="U86" i="343"/>
  <c r="T86" i="343"/>
  <c r="S86" i="343"/>
  <c r="R86" i="343"/>
  <c r="Q86" i="343"/>
  <c r="P86" i="343"/>
  <c r="O86" i="343"/>
  <c r="N86" i="343"/>
  <c r="M86" i="343"/>
  <c r="L86" i="343"/>
  <c r="K86" i="343"/>
  <c r="J86" i="343"/>
  <c r="I86" i="343"/>
  <c r="H86" i="343"/>
  <c r="G86" i="343"/>
  <c r="F86" i="343"/>
  <c r="E86" i="343"/>
  <c r="D86" i="343"/>
  <c r="C86" i="343"/>
  <c r="B86" i="343"/>
  <c r="AG85" i="343"/>
  <c r="AF85" i="343"/>
  <c r="AE85" i="343"/>
  <c r="AD85" i="343"/>
  <c r="AC85" i="343"/>
  <c r="AB85" i="343"/>
  <c r="AA85" i="343"/>
  <c r="Z85" i="343"/>
  <c r="Y85" i="343"/>
  <c r="X85" i="343"/>
  <c r="W85" i="343"/>
  <c r="V85" i="343"/>
  <c r="U85" i="343"/>
  <c r="T85" i="343"/>
  <c r="S85" i="343"/>
  <c r="R85" i="343"/>
  <c r="Q85" i="343"/>
  <c r="P85" i="343"/>
  <c r="O85" i="343"/>
  <c r="N85" i="343"/>
  <c r="M85" i="343"/>
  <c r="L85" i="343"/>
  <c r="K85" i="343"/>
  <c r="J85" i="343"/>
  <c r="I85" i="343"/>
  <c r="H85" i="343"/>
  <c r="G85" i="343"/>
  <c r="F85" i="343"/>
  <c r="E85" i="343"/>
  <c r="D85" i="343"/>
  <c r="C85" i="343"/>
  <c r="B85" i="343"/>
  <c r="AG84" i="343"/>
  <c r="AF84" i="343"/>
  <c r="AE84" i="343"/>
  <c r="AD84" i="343"/>
  <c r="AC84" i="343"/>
  <c r="AB84" i="343"/>
  <c r="AA84" i="343"/>
  <c r="Z84" i="343"/>
  <c r="Y84" i="343"/>
  <c r="X84" i="343"/>
  <c r="W84" i="343"/>
  <c r="V84" i="343"/>
  <c r="U84" i="343"/>
  <c r="T84" i="343"/>
  <c r="S84" i="343"/>
  <c r="R84" i="343"/>
  <c r="Q84" i="343"/>
  <c r="P84" i="343"/>
  <c r="O84" i="343"/>
  <c r="N84" i="343"/>
  <c r="M84" i="343"/>
  <c r="L84" i="343"/>
  <c r="K84" i="343"/>
  <c r="J84" i="343"/>
  <c r="I84" i="343"/>
  <c r="H84" i="343"/>
  <c r="G84" i="343"/>
  <c r="F84" i="343"/>
  <c r="E84" i="343"/>
  <c r="D84" i="343"/>
  <c r="C84" i="343"/>
  <c r="B84" i="343"/>
  <c r="AG83" i="343"/>
  <c r="AF83" i="343"/>
  <c r="AE83" i="343"/>
  <c r="AD83" i="343"/>
  <c r="AC83" i="343"/>
  <c r="AB83" i="343"/>
  <c r="AA83" i="343"/>
  <c r="Z83" i="343"/>
  <c r="Y83" i="343"/>
  <c r="X83" i="343"/>
  <c r="W83" i="343"/>
  <c r="V83" i="343"/>
  <c r="U83" i="343"/>
  <c r="T83" i="343"/>
  <c r="S83" i="343"/>
  <c r="R83" i="343"/>
  <c r="Q83" i="343"/>
  <c r="P83" i="343"/>
  <c r="O83" i="343"/>
  <c r="N83" i="343"/>
  <c r="M83" i="343"/>
  <c r="L83" i="343"/>
  <c r="K83" i="343"/>
  <c r="J83" i="343"/>
  <c r="I83" i="343"/>
  <c r="H83" i="343"/>
  <c r="G83" i="343"/>
  <c r="F83" i="343"/>
  <c r="E83" i="343"/>
  <c r="D83" i="343"/>
  <c r="C83" i="343"/>
  <c r="B83" i="343"/>
  <c r="AG82" i="343"/>
  <c r="AF82" i="343"/>
  <c r="AE82" i="343"/>
  <c r="AD82" i="343"/>
  <c r="AC82" i="343"/>
  <c r="AB82" i="343"/>
  <c r="AA82" i="343"/>
  <c r="Z82" i="343"/>
  <c r="Y82" i="343"/>
  <c r="X82" i="343"/>
  <c r="W82" i="343"/>
  <c r="V82" i="343"/>
  <c r="U82" i="343"/>
  <c r="T82" i="343"/>
  <c r="S82" i="343"/>
  <c r="R82" i="343"/>
  <c r="Q82" i="343"/>
  <c r="P82" i="343"/>
  <c r="O82" i="343"/>
  <c r="N82" i="343"/>
  <c r="M82" i="343"/>
  <c r="L82" i="343"/>
  <c r="K82" i="343"/>
  <c r="J82" i="343"/>
  <c r="I82" i="343"/>
  <c r="H82" i="343"/>
  <c r="G82" i="343"/>
  <c r="F82" i="343"/>
  <c r="E82" i="343"/>
  <c r="D82" i="343"/>
  <c r="C82" i="343"/>
  <c r="B82" i="343"/>
  <c r="AG81" i="343"/>
  <c r="AF81" i="343"/>
  <c r="AE81" i="343"/>
  <c r="AD81" i="343"/>
  <c r="AC81" i="343"/>
  <c r="AB81" i="343"/>
  <c r="AA81" i="343"/>
  <c r="Z81" i="343"/>
  <c r="Y81" i="343"/>
  <c r="X81" i="343"/>
  <c r="W81" i="343"/>
  <c r="V81" i="343"/>
  <c r="U81" i="343"/>
  <c r="T81" i="343"/>
  <c r="S81" i="343"/>
  <c r="R81" i="343"/>
  <c r="Q81" i="343"/>
  <c r="P81" i="343"/>
  <c r="O81" i="343"/>
  <c r="N81" i="343"/>
  <c r="M81" i="343"/>
  <c r="L81" i="343"/>
  <c r="K81" i="343"/>
  <c r="J81" i="343"/>
  <c r="I81" i="343"/>
  <c r="H81" i="343"/>
  <c r="G81" i="343"/>
  <c r="F81" i="343"/>
  <c r="E81" i="343"/>
  <c r="D81" i="343"/>
  <c r="C81" i="343"/>
  <c r="B81" i="343"/>
  <c r="AG80" i="343"/>
  <c r="AF80" i="343"/>
  <c r="AE80" i="343"/>
  <c r="AD80" i="343"/>
  <c r="AC80" i="343"/>
  <c r="AB80" i="343"/>
  <c r="AA80" i="343"/>
  <c r="Z80" i="343"/>
  <c r="Y80" i="343"/>
  <c r="X80" i="343"/>
  <c r="W80" i="343"/>
  <c r="V80" i="343"/>
  <c r="U80" i="343"/>
  <c r="T80" i="343"/>
  <c r="S80" i="343"/>
  <c r="R80" i="343"/>
  <c r="Q80" i="343"/>
  <c r="P80" i="343"/>
  <c r="O80" i="343"/>
  <c r="N80" i="343"/>
  <c r="M80" i="343"/>
  <c r="L80" i="343"/>
  <c r="K80" i="343"/>
  <c r="J80" i="343"/>
  <c r="I80" i="343"/>
  <c r="H80" i="343"/>
  <c r="G80" i="343"/>
  <c r="F80" i="343"/>
  <c r="E80" i="343"/>
  <c r="D80" i="343"/>
  <c r="C80" i="343"/>
  <c r="B80" i="343"/>
  <c r="AG79" i="343"/>
  <c r="AF79" i="343"/>
  <c r="AE79" i="343"/>
  <c r="AD79" i="343"/>
  <c r="AC79" i="343"/>
  <c r="AB79" i="343"/>
  <c r="AA79" i="343"/>
  <c r="Z79" i="343"/>
  <c r="Y79" i="343"/>
  <c r="X79" i="343"/>
  <c r="W79" i="343"/>
  <c r="V79" i="343"/>
  <c r="U79" i="343"/>
  <c r="T79" i="343"/>
  <c r="S79" i="343"/>
  <c r="R79" i="343"/>
  <c r="Q79" i="343"/>
  <c r="P79" i="343"/>
  <c r="O79" i="343"/>
  <c r="N79" i="343"/>
  <c r="M79" i="343"/>
  <c r="L79" i="343"/>
  <c r="K79" i="343"/>
  <c r="J79" i="343"/>
  <c r="I79" i="343"/>
  <c r="H79" i="343"/>
  <c r="G79" i="343"/>
  <c r="F79" i="343"/>
  <c r="E79" i="343"/>
  <c r="D79" i="343"/>
  <c r="C79" i="343"/>
  <c r="B79" i="343"/>
  <c r="AB58" i="343"/>
  <c r="AJ49" i="343"/>
  <c r="AI49" i="343"/>
  <c r="AH49" i="343"/>
  <c r="AH49" i="343" a="1"/>
  <c r="A49" i="343"/>
  <c r="AJ48" i="343"/>
  <c r="AH48" i="343" a="1"/>
  <c r="AH48" i="343" s="1"/>
  <c r="AI48" i="343" s="1"/>
  <c r="A48" i="343"/>
  <c r="AJ47" i="343"/>
  <c r="AH47" i="343"/>
  <c r="AI47" i="343" s="1"/>
  <c r="AH47" i="343" a="1"/>
  <c r="A47" i="343"/>
  <c r="AJ46" i="343"/>
  <c r="AH46" i="343" a="1"/>
  <c r="AH46" i="343" s="1"/>
  <c r="AI46" i="343" s="1"/>
  <c r="A46" i="343"/>
  <c r="AJ45" i="343"/>
  <c r="AH45" i="343" a="1"/>
  <c r="AH45" i="343" s="1"/>
  <c r="AI45" i="343" s="1"/>
  <c r="A45" i="343"/>
  <c r="AJ44" i="343"/>
  <c r="AH44" i="343" a="1"/>
  <c r="AH44" i="343" s="1"/>
  <c r="AI44" i="343" s="1"/>
  <c r="A44" i="343"/>
  <c r="AJ43" i="343"/>
  <c r="AI43" i="343"/>
  <c r="AH43" i="343" a="1"/>
  <c r="AH43" i="343" s="1"/>
  <c r="A43" i="343"/>
  <c r="AJ42" i="343"/>
  <c r="AH42" i="343" a="1"/>
  <c r="AH42" i="343" s="1"/>
  <c r="AI42" i="343" s="1"/>
  <c r="A42" i="343"/>
  <c r="AJ41" i="343"/>
  <c r="AH41" i="343" a="1"/>
  <c r="AH41" i="343" s="1"/>
  <c r="AI41" i="343" s="1"/>
  <c r="A41" i="343"/>
  <c r="AJ40" i="343"/>
  <c r="AH40" i="343"/>
  <c r="AI40" i="343" s="1"/>
  <c r="AH40" i="343" a="1"/>
  <c r="A40" i="343"/>
  <c r="AJ39" i="343"/>
  <c r="AH39" i="343" a="1"/>
  <c r="AH39" i="343" s="1"/>
  <c r="AI39" i="343" s="1"/>
  <c r="A39" i="343"/>
  <c r="AJ38" i="343"/>
  <c r="AH38" i="343" a="1"/>
  <c r="AH38" i="343" s="1"/>
  <c r="AI38" i="343" s="1"/>
  <c r="A38" i="343"/>
  <c r="AJ37" i="343"/>
  <c r="AH37" i="343" a="1"/>
  <c r="AH37" i="343" s="1"/>
  <c r="AI37" i="343" s="1"/>
  <c r="A37" i="343"/>
  <c r="AJ36" i="343"/>
  <c r="AI36" i="343"/>
  <c r="AH36" i="343"/>
  <c r="AH36" i="343" a="1"/>
  <c r="A36" i="343"/>
  <c r="AJ35" i="343"/>
  <c r="AH35" i="343" a="1"/>
  <c r="AH35" i="343" s="1"/>
  <c r="AI35" i="343" s="1"/>
  <c r="A35" i="343"/>
  <c r="AJ34" i="343"/>
  <c r="AH34" i="343" a="1"/>
  <c r="AH34" i="343" s="1"/>
  <c r="AI34" i="343" s="1"/>
  <c r="A34" i="343"/>
  <c r="AJ33" i="343"/>
  <c r="AI33" i="343"/>
  <c r="AH33" i="343"/>
  <c r="AH33" i="343" a="1"/>
  <c r="A33" i="343"/>
  <c r="AJ32" i="343"/>
  <c r="AH32" i="343" a="1"/>
  <c r="AH32" i="343" s="1"/>
  <c r="AI32" i="343" s="1"/>
  <c r="A32" i="343"/>
  <c r="AJ31" i="343"/>
  <c r="AH31" i="343" a="1"/>
  <c r="AH31" i="343" s="1"/>
  <c r="AI31" i="343" s="1"/>
  <c r="A31" i="343"/>
  <c r="AJ30" i="343"/>
  <c r="AH30" i="343" a="1"/>
  <c r="AH30" i="343" s="1"/>
  <c r="AI30" i="343" s="1"/>
  <c r="A30" i="343"/>
  <c r="AJ29" i="343"/>
  <c r="AH29" i="343" a="1"/>
  <c r="AH29" i="343" s="1"/>
  <c r="AI29" i="343" s="1"/>
  <c r="A29" i="343"/>
  <c r="AJ28" i="343"/>
  <c r="AH28" i="343" a="1"/>
  <c r="AH28" i="343" s="1"/>
  <c r="AI28" i="343" s="1"/>
  <c r="A28" i="343"/>
  <c r="AJ27" i="343"/>
  <c r="AH27" i="343" a="1"/>
  <c r="AH27" i="343" s="1"/>
  <c r="AI27" i="343" s="1"/>
  <c r="A27" i="343"/>
  <c r="AK26" i="343"/>
  <c r="AJ26" i="343"/>
  <c r="AH26" i="343" a="1"/>
  <c r="AH26" i="343" s="1"/>
  <c r="A26" i="343"/>
  <c r="AJ25" i="343"/>
  <c r="AH25" i="343" a="1"/>
  <c r="AH25" i="343" s="1"/>
  <c r="AI25" i="343" s="1"/>
  <c r="A25" i="343"/>
  <c r="AK24" i="343"/>
  <c r="AJ24" i="343"/>
  <c r="AH24" i="343" a="1"/>
  <c r="AH24" i="343" s="1"/>
  <c r="A24" i="343"/>
  <c r="AK23" i="343"/>
  <c r="AJ23" i="343"/>
  <c r="AH23" i="343" a="1"/>
  <c r="AH23" i="343" s="1"/>
  <c r="A23" i="343"/>
  <c r="AK22" i="343"/>
  <c r="AJ22" i="343"/>
  <c r="AH22" i="343" a="1"/>
  <c r="AH22" i="343" s="1"/>
  <c r="A22" i="343"/>
  <c r="AK21" i="343"/>
  <c r="AO21" i="343" s="1"/>
  <c r="AP21" i="343" s="1"/>
  <c r="AJ21" i="343"/>
  <c r="AH21" i="343"/>
  <c r="AI21" i="343" s="1"/>
  <c r="AH21" i="343" a="1"/>
  <c r="A21" i="343"/>
  <c r="AK20" i="343"/>
  <c r="AJ20" i="343"/>
  <c r="AH20" i="343" a="1"/>
  <c r="AH20" i="343" s="1"/>
  <c r="A20" i="343"/>
  <c r="AK19" i="343"/>
  <c r="AJ19" i="343"/>
  <c r="AH19" i="343" a="1"/>
  <c r="AH19" i="343" s="1"/>
  <c r="AI19" i="343" s="1"/>
  <c r="A19" i="343"/>
  <c r="AK18" i="343"/>
  <c r="AJ18" i="343"/>
  <c r="AH18" i="343" a="1"/>
  <c r="AH18" i="343" s="1"/>
  <c r="A18" i="343"/>
  <c r="AK17" i="343"/>
  <c r="AJ17" i="343"/>
  <c r="AI17" i="343"/>
  <c r="AH17" i="343"/>
  <c r="AH17" i="343" a="1"/>
  <c r="A17" i="343"/>
  <c r="AK16" i="343"/>
  <c r="AJ16" i="343"/>
  <c r="AH16" i="343" a="1"/>
  <c r="AH16" i="343" s="1"/>
  <c r="A16" i="343"/>
  <c r="AK15" i="343"/>
  <c r="AJ15" i="343"/>
  <c r="AH15" i="343" a="1"/>
  <c r="AH15" i="343" s="1"/>
  <c r="A15" i="343"/>
  <c r="AO14" i="343"/>
  <c r="AP14" i="343" s="1"/>
  <c r="AK14" i="343"/>
  <c r="AJ14" i="343"/>
  <c r="AH14" i="343"/>
  <c r="AI14" i="343" s="1"/>
  <c r="AH14" i="343" a="1"/>
  <c r="A14" i="343"/>
  <c r="AK13" i="343"/>
  <c r="AJ13" i="343"/>
  <c r="AH13" i="343" a="1"/>
  <c r="AH13" i="343" s="1"/>
  <c r="A13" i="343"/>
  <c r="AK12" i="343"/>
  <c r="AK50" i="343" s="1"/>
  <c r="AJ12" i="343"/>
  <c r="AJ50" i="343" s="1"/>
  <c r="AH12" i="343" a="1"/>
  <c r="AH12" i="343" s="1"/>
  <c r="AI12" i="343" s="1"/>
  <c r="A12" i="343"/>
  <c r="AK11" i="343"/>
  <c r="AJ11" i="343"/>
  <c r="AH11" i="343" a="1"/>
  <c r="AH11" i="343" s="1"/>
  <c r="A11" i="343"/>
  <c r="AK10" i="343"/>
  <c r="AJ10" i="343"/>
  <c r="AH10" i="343"/>
  <c r="AH10" i="343" a="1"/>
  <c r="A10" i="343"/>
  <c r="Q7" i="343"/>
  <c r="Q78" i="343" s="1"/>
  <c r="P7" i="343"/>
  <c r="P78" i="343" s="1"/>
  <c r="J7" i="343"/>
  <c r="J78" i="343" s="1"/>
  <c r="I7" i="343"/>
  <c r="I78" i="343" s="1"/>
  <c r="X6" i="343"/>
  <c r="X8" i="343" s="1"/>
  <c r="S6" i="343"/>
  <c r="S8" i="343" s="1"/>
  <c r="L6" i="343"/>
  <c r="L8" i="343" s="1"/>
  <c r="K6" i="343"/>
  <c r="K8" i="343" s="1"/>
  <c r="C4" i="343"/>
  <c r="L3" i="343"/>
  <c r="T7" i="343" s="1"/>
  <c r="T78" i="343" s="1"/>
  <c r="K1" i="343"/>
  <c r="C94" i="342"/>
  <c r="AG88" i="342"/>
  <c r="AF88" i="342"/>
  <c r="AE88" i="342"/>
  <c r="AD88" i="342"/>
  <c r="AC88" i="342"/>
  <c r="AB88" i="342"/>
  <c r="AA88" i="342"/>
  <c r="Z88" i="342"/>
  <c r="Y88" i="342"/>
  <c r="X88" i="342"/>
  <c r="W88" i="342"/>
  <c r="V88" i="342"/>
  <c r="U88" i="342"/>
  <c r="T88" i="342"/>
  <c r="S88" i="342"/>
  <c r="R88" i="342"/>
  <c r="Q88" i="342"/>
  <c r="P88" i="342"/>
  <c r="O88" i="342"/>
  <c r="N88" i="342"/>
  <c r="M88" i="342"/>
  <c r="L88" i="342"/>
  <c r="K88" i="342"/>
  <c r="J88" i="342"/>
  <c r="I88" i="342"/>
  <c r="H88" i="342"/>
  <c r="G88" i="342"/>
  <c r="F88" i="342"/>
  <c r="E88" i="342"/>
  <c r="D88" i="342"/>
  <c r="C88" i="342"/>
  <c r="B88" i="342"/>
  <c r="AG87" i="342"/>
  <c r="AF87" i="342"/>
  <c r="AE87" i="342"/>
  <c r="AD87" i="342"/>
  <c r="AC87" i="342"/>
  <c r="AB87" i="342"/>
  <c r="AA87" i="342"/>
  <c r="Z87" i="342"/>
  <c r="Y87" i="342"/>
  <c r="X87" i="342"/>
  <c r="W87" i="342"/>
  <c r="V87" i="342"/>
  <c r="U87" i="342"/>
  <c r="T87" i="342"/>
  <c r="S87" i="342"/>
  <c r="R87" i="342"/>
  <c r="Q87" i="342"/>
  <c r="P87" i="342"/>
  <c r="O87" i="342"/>
  <c r="N87" i="342"/>
  <c r="M87" i="342"/>
  <c r="L87" i="342"/>
  <c r="K87" i="342"/>
  <c r="J87" i="342"/>
  <c r="I87" i="342"/>
  <c r="H87" i="342"/>
  <c r="G87" i="342"/>
  <c r="F87" i="342"/>
  <c r="E87" i="342"/>
  <c r="D87" i="342"/>
  <c r="C87" i="342"/>
  <c r="B87" i="342"/>
  <c r="AG86" i="342"/>
  <c r="AF86" i="342"/>
  <c r="AE86" i="342"/>
  <c r="AD86" i="342"/>
  <c r="AC86" i="342"/>
  <c r="AB86" i="342"/>
  <c r="AA86" i="342"/>
  <c r="Z86" i="342"/>
  <c r="Y86" i="342"/>
  <c r="X86" i="342"/>
  <c r="W86" i="342"/>
  <c r="V86" i="342"/>
  <c r="U86" i="342"/>
  <c r="T86" i="342"/>
  <c r="S86" i="342"/>
  <c r="R86" i="342"/>
  <c r="Q86" i="342"/>
  <c r="P86" i="342"/>
  <c r="O86" i="342"/>
  <c r="N86" i="342"/>
  <c r="M86" i="342"/>
  <c r="L86" i="342"/>
  <c r="K86" i="342"/>
  <c r="J86" i="342"/>
  <c r="I86" i="342"/>
  <c r="H86" i="342"/>
  <c r="G86" i="342"/>
  <c r="F86" i="342"/>
  <c r="E86" i="342"/>
  <c r="D86" i="342"/>
  <c r="C86" i="342"/>
  <c r="B86" i="342"/>
  <c r="AG85" i="342"/>
  <c r="AF85" i="342"/>
  <c r="AE85" i="342"/>
  <c r="AD85" i="342"/>
  <c r="AC85" i="342"/>
  <c r="AB85" i="342"/>
  <c r="AA85" i="342"/>
  <c r="Z85" i="342"/>
  <c r="Y85" i="342"/>
  <c r="X85" i="342"/>
  <c r="W85" i="342"/>
  <c r="V85" i="342"/>
  <c r="U85" i="342"/>
  <c r="T85" i="342"/>
  <c r="S85" i="342"/>
  <c r="R85" i="342"/>
  <c r="Q85" i="342"/>
  <c r="P85" i="342"/>
  <c r="O85" i="342"/>
  <c r="N85" i="342"/>
  <c r="M85" i="342"/>
  <c r="L85" i="342"/>
  <c r="K85" i="342"/>
  <c r="J85" i="342"/>
  <c r="I85" i="342"/>
  <c r="H85" i="342"/>
  <c r="G85" i="342"/>
  <c r="F85" i="342"/>
  <c r="E85" i="342"/>
  <c r="D85" i="342"/>
  <c r="C85" i="342"/>
  <c r="B85" i="342"/>
  <c r="AG84" i="342"/>
  <c r="AF84" i="342"/>
  <c r="AE84" i="342"/>
  <c r="AD84" i="342"/>
  <c r="AC84" i="342"/>
  <c r="AB84" i="342"/>
  <c r="AA84" i="342"/>
  <c r="Z84" i="342"/>
  <c r="Y84" i="342"/>
  <c r="X84" i="342"/>
  <c r="W84" i="342"/>
  <c r="V84" i="342"/>
  <c r="U84" i="342"/>
  <c r="T84" i="342"/>
  <c r="S84" i="342"/>
  <c r="R84" i="342"/>
  <c r="Q84" i="342"/>
  <c r="P84" i="342"/>
  <c r="O84" i="342"/>
  <c r="N84" i="342"/>
  <c r="M84" i="342"/>
  <c r="L84" i="342"/>
  <c r="K84" i="342"/>
  <c r="J84" i="342"/>
  <c r="I84" i="342"/>
  <c r="H84" i="342"/>
  <c r="G84" i="342"/>
  <c r="F84" i="342"/>
  <c r="E84" i="342"/>
  <c r="D84" i="342"/>
  <c r="C84" i="342"/>
  <c r="B84" i="342"/>
  <c r="AG83" i="342"/>
  <c r="AF83" i="342"/>
  <c r="AE83" i="342"/>
  <c r="AD83" i="342"/>
  <c r="AC83" i="342"/>
  <c r="AB83" i="342"/>
  <c r="AA83" i="342"/>
  <c r="Z83" i="342"/>
  <c r="Y83" i="342"/>
  <c r="X83" i="342"/>
  <c r="W83" i="342"/>
  <c r="V83" i="342"/>
  <c r="U83" i="342"/>
  <c r="T83" i="342"/>
  <c r="S83" i="342"/>
  <c r="R83" i="342"/>
  <c r="Q83" i="342"/>
  <c r="P83" i="342"/>
  <c r="O83" i="342"/>
  <c r="N83" i="342"/>
  <c r="M83" i="342"/>
  <c r="L83" i="342"/>
  <c r="K83" i="342"/>
  <c r="J83" i="342"/>
  <c r="I83" i="342"/>
  <c r="H83" i="342"/>
  <c r="G83" i="342"/>
  <c r="F83" i="342"/>
  <c r="E83" i="342"/>
  <c r="D83" i="342"/>
  <c r="C83" i="342"/>
  <c r="B83" i="342"/>
  <c r="AG82" i="342"/>
  <c r="AF82" i="342"/>
  <c r="AE82" i="342"/>
  <c r="AD82" i="342"/>
  <c r="AC82" i="342"/>
  <c r="AB82" i="342"/>
  <c r="AA82" i="342"/>
  <c r="Z82" i="342"/>
  <c r="Y82" i="342"/>
  <c r="X82" i="342"/>
  <c r="W82" i="342"/>
  <c r="V82" i="342"/>
  <c r="U82" i="342"/>
  <c r="T82" i="342"/>
  <c r="S82" i="342"/>
  <c r="R82" i="342"/>
  <c r="Q82" i="342"/>
  <c r="P82" i="342"/>
  <c r="O82" i="342"/>
  <c r="N82" i="342"/>
  <c r="M82" i="342"/>
  <c r="L82" i="342"/>
  <c r="K82" i="342"/>
  <c r="J82" i="342"/>
  <c r="I82" i="342"/>
  <c r="H82" i="342"/>
  <c r="G82" i="342"/>
  <c r="F82" i="342"/>
  <c r="E82" i="342"/>
  <c r="D82" i="342"/>
  <c r="C82" i="342"/>
  <c r="B82" i="342"/>
  <c r="AG81" i="342"/>
  <c r="AF81" i="342"/>
  <c r="AE81" i="342"/>
  <c r="AD81" i="342"/>
  <c r="AC81" i="342"/>
  <c r="AB81" i="342"/>
  <c r="AA81" i="342"/>
  <c r="Z81" i="342"/>
  <c r="Y81" i="342"/>
  <c r="X81" i="342"/>
  <c r="W81" i="342"/>
  <c r="V81" i="342"/>
  <c r="U81" i="342"/>
  <c r="T81" i="342"/>
  <c r="S81" i="342"/>
  <c r="R81" i="342"/>
  <c r="Q81" i="342"/>
  <c r="P81" i="342"/>
  <c r="O81" i="342"/>
  <c r="N81" i="342"/>
  <c r="M81" i="342"/>
  <c r="L81" i="342"/>
  <c r="K81" i="342"/>
  <c r="J81" i="342"/>
  <c r="I81" i="342"/>
  <c r="H81" i="342"/>
  <c r="G81" i="342"/>
  <c r="F81" i="342"/>
  <c r="E81" i="342"/>
  <c r="D81" i="342"/>
  <c r="C81" i="342"/>
  <c r="B81" i="342"/>
  <c r="AG80" i="342"/>
  <c r="AF80" i="342"/>
  <c r="AE80" i="342"/>
  <c r="AD80" i="342"/>
  <c r="AC80" i="342"/>
  <c r="AB80" i="342"/>
  <c r="AA80" i="342"/>
  <c r="Z80" i="342"/>
  <c r="Y80" i="342"/>
  <c r="X80" i="342"/>
  <c r="W80" i="342"/>
  <c r="V80" i="342"/>
  <c r="U80" i="342"/>
  <c r="T80" i="342"/>
  <c r="S80" i="342"/>
  <c r="R80" i="342"/>
  <c r="Q80" i="342"/>
  <c r="P80" i="342"/>
  <c r="O80" i="342"/>
  <c r="N80" i="342"/>
  <c r="M80" i="342"/>
  <c r="L80" i="342"/>
  <c r="K80" i="342"/>
  <c r="J80" i="342"/>
  <c r="I80" i="342"/>
  <c r="H80" i="342"/>
  <c r="G80" i="342"/>
  <c r="F80" i="342"/>
  <c r="E80" i="342"/>
  <c r="D80" i="342"/>
  <c r="C80" i="342"/>
  <c r="B80" i="342"/>
  <c r="AG79" i="342"/>
  <c r="AF79" i="342"/>
  <c r="AE79" i="342"/>
  <c r="AD79" i="342"/>
  <c r="AC79" i="342"/>
  <c r="AB79" i="342"/>
  <c r="AA79" i="342"/>
  <c r="Z79" i="342"/>
  <c r="Y79" i="342"/>
  <c r="X79" i="342"/>
  <c r="W79" i="342"/>
  <c r="V79" i="342"/>
  <c r="U79" i="342"/>
  <c r="T79" i="342"/>
  <c r="S79" i="342"/>
  <c r="R79" i="342"/>
  <c r="Q79" i="342"/>
  <c r="P79" i="342"/>
  <c r="O79" i="342"/>
  <c r="N79" i="342"/>
  <c r="M79" i="342"/>
  <c r="L79" i="342"/>
  <c r="K79" i="342"/>
  <c r="J79" i="342"/>
  <c r="I79" i="342"/>
  <c r="H79" i="342"/>
  <c r="G79" i="342"/>
  <c r="F79" i="342"/>
  <c r="E79" i="342"/>
  <c r="D79" i="342"/>
  <c r="C79" i="342"/>
  <c r="B79" i="342"/>
  <c r="AB58" i="342"/>
  <c r="AJ49" i="342"/>
  <c r="AH49" i="342" a="1"/>
  <c r="AH49" i="342" s="1"/>
  <c r="AI49" i="342" s="1"/>
  <c r="A49" i="342"/>
  <c r="AJ48" i="342"/>
  <c r="AH48" i="342" a="1"/>
  <c r="AH48" i="342" s="1"/>
  <c r="AI48" i="342" s="1"/>
  <c r="A48" i="342"/>
  <c r="AJ47" i="342"/>
  <c r="AH47" i="342" a="1"/>
  <c r="AH47" i="342" s="1"/>
  <c r="AI47" i="342" s="1"/>
  <c r="A47" i="342"/>
  <c r="AJ46" i="342"/>
  <c r="AH46" i="342" a="1"/>
  <c r="AH46" i="342" s="1"/>
  <c r="AI46" i="342" s="1"/>
  <c r="A46" i="342"/>
  <c r="AJ45" i="342"/>
  <c r="AH45" i="342" a="1"/>
  <c r="AH45" i="342" s="1"/>
  <c r="AI45" i="342" s="1"/>
  <c r="A45" i="342"/>
  <c r="AJ44" i="342"/>
  <c r="AH44" i="342" a="1"/>
  <c r="AH44" i="342" s="1"/>
  <c r="AI44" i="342" s="1"/>
  <c r="A44" i="342"/>
  <c r="AJ43" i="342"/>
  <c r="AH43" i="342" a="1"/>
  <c r="AH43" i="342" s="1"/>
  <c r="AI43" i="342" s="1"/>
  <c r="A43" i="342"/>
  <c r="AJ42" i="342"/>
  <c r="AH42" i="342" a="1"/>
  <c r="AH42" i="342" s="1"/>
  <c r="AI42" i="342" s="1"/>
  <c r="A42" i="342"/>
  <c r="AJ41" i="342"/>
  <c r="AH41" i="342"/>
  <c r="AI41" i="342" s="1"/>
  <c r="AH41" i="342" a="1"/>
  <c r="A41" i="342"/>
  <c r="AJ40" i="342"/>
  <c r="AH40" i="342" a="1"/>
  <c r="AH40" i="342" s="1"/>
  <c r="AI40" i="342" s="1"/>
  <c r="A40" i="342"/>
  <c r="AJ39" i="342"/>
  <c r="AH39" i="342" a="1"/>
  <c r="AH39" i="342" s="1"/>
  <c r="AI39" i="342" s="1"/>
  <c r="A39" i="342"/>
  <c r="AJ38" i="342"/>
  <c r="AH38" i="342" a="1"/>
  <c r="AH38" i="342" s="1"/>
  <c r="AI38" i="342" s="1"/>
  <c r="A38" i="342"/>
  <c r="AJ37" i="342"/>
  <c r="AH37" i="342" a="1"/>
  <c r="AH37" i="342" s="1"/>
  <c r="AI37" i="342" s="1"/>
  <c r="A37" i="342"/>
  <c r="AJ36" i="342"/>
  <c r="AH36" i="342" a="1"/>
  <c r="AH36" i="342" s="1"/>
  <c r="AI36" i="342" s="1"/>
  <c r="A36" i="342"/>
  <c r="AJ35" i="342"/>
  <c r="AH35" i="342" a="1"/>
  <c r="AH35" i="342" s="1"/>
  <c r="AI35" i="342" s="1"/>
  <c r="A35" i="342"/>
  <c r="AJ34" i="342"/>
  <c r="AH34" i="342" a="1"/>
  <c r="AH34" i="342" s="1"/>
  <c r="AI34" i="342" s="1"/>
  <c r="A34" i="342"/>
  <c r="AJ33" i="342"/>
  <c r="AH33" i="342" a="1"/>
  <c r="AH33" i="342" s="1"/>
  <c r="AI33" i="342" s="1"/>
  <c r="A33" i="342"/>
  <c r="AJ32" i="342"/>
  <c r="AH32" i="342" a="1"/>
  <c r="AH32" i="342" s="1"/>
  <c r="AI32" i="342" s="1"/>
  <c r="A32" i="342"/>
  <c r="AJ31" i="342"/>
  <c r="AH31" i="342" a="1"/>
  <c r="AH31" i="342" s="1"/>
  <c r="AI31" i="342" s="1"/>
  <c r="A31" i="342"/>
  <c r="AJ30" i="342"/>
  <c r="AH30" i="342" a="1"/>
  <c r="AH30" i="342" s="1"/>
  <c r="AI30" i="342" s="1"/>
  <c r="A30" i="342"/>
  <c r="AJ29" i="342"/>
  <c r="AH29" i="342" a="1"/>
  <c r="AH29" i="342" s="1"/>
  <c r="AI29" i="342" s="1"/>
  <c r="A29" i="342"/>
  <c r="AJ28" i="342"/>
  <c r="AH28" i="342" a="1"/>
  <c r="AH28" i="342" s="1"/>
  <c r="AI28" i="342" s="1"/>
  <c r="A28" i="342"/>
  <c r="AJ27" i="342"/>
  <c r="AH27" i="342" a="1"/>
  <c r="AH27" i="342" s="1"/>
  <c r="AI27" i="342" s="1"/>
  <c r="A27" i="342"/>
  <c r="AK26" i="342"/>
  <c r="AJ26" i="342"/>
  <c r="AH26" i="342" a="1"/>
  <c r="AH26" i="342" s="1"/>
  <c r="A26" i="342"/>
  <c r="AJ25" i="342"/>
  <c r="AH25" i="342"/>
  <c r="AI25" i="342" s="1"/>
  <c r="AH25" i="342" a="1"/>
  <c r="A25" i="342"/>
  <c r="AK24" i="342"/>
  <c r="AJ24" i="342"/>
  <c r="AH24" i="342" a="1"/>
  <c r="AH24" i="342" s="1"/>
  <c r="A24" i="342"/>
  <c r="AK23" i="342"/>
  <c r="AJ23" i="342"/>
  <c r="AH23" i="342" a="1"/>
  <c r="AH23" i="342" s="1"/>
  <c r="A23" i="342"/>
  <c r="AK22" i="342"/>
  <c r="AJ22" i="342"/>
  <c r="AH22" i="342" a="1"/>
  <c r="AH22" i="342" s="1"/>
  <c r="A22" i="342"/>
  <c r="AK21" i="342"/>
  <c r="AJ21" i="342"/>
  <c r="AH21" i="342" a="1"/>
  <c r="AH21" i="342" s="1"/>
  <c r="A21" i="342"/>
  <c r="AK20" i="342"/>
  <c r="AJ20" i="342"/>
  <c r="AH20" i="342" a="1"/>
  <c r="AH20" i="342" s="1"/>
  <c r="A20" i="342"/>
  <c r="AK19" i="342"/>
  <c r="AJ19" i="342"/>
  <c r="AH19" i="342" a="1"/>
  <c r="AH19" i="342" s="1"/>
  <c r="A19" i="342"/>
  <c r="AK18" i="342"/>
  <c r="AJ18" i="342"/>
  <c r="AH18" i="342" a="1"/>
  <c r="AH18" i="342" s="1"/>
  <c r="A18" i="342"/>
  <c r="AK17" i="342"/>
  <c r="AJ17" i="342"/>
  <c r="AH17" i="342" a="1"/>
  <c r="AH17" i="342" s="1"/>
  <c r="A17" i="342"/>
  <c r="AK16" i="342"/>
  <c r="AJ16" i="342"/>
  <c r="AH16" i="342" a="1"/>
  <c r="AH16" i="342" s="1"/>
  <c r="A16" i="342"/>
  <c r="AK15" i="342"/>
  <c r="AJ15" i="342"/>
  <c r="AH15" i="342" a="1"/>
  <c r="AH15" i="342" s="1"/>
  <c r="A15" i="342"/>
  <c r="AK14" i="342"/>
  <c r="AJ14" i="342"/>
  <c r="AH14" i="342" a="1"/>
  <c r="AH14" i="342" s="1"/>
  <c r="A14" i="342"/>
  <c r="AK13" i="342"/>
  <c r="AJ13" i="342"/>
  <c r="AH13" i="342" a="1"/>
  <c r="AH13" i="342" s="1"/>
  <c r="A13" i="342"/>
  <c r="AK12" i="342"/>
  <c r="AJ12" i="342"/>
  <c r="AH12" i="342" a="1"/>
  <c r="AH12" i="342" s="1"/>
  <c r="A12" i="342"/>
  <c r="AK11" i="342"/>
  <c r="AJ11" i="342"/>
  <c r="AH11" i="342" a="1"/>
  <c r="AH11" i="342" s="1"/>
  <c r="A11" i="342"/>
  <c r="AK10" i="342"/>
  <c r="AK50" i="342" s="1"/>
  <c r="AJ10" i="342"/>
  <c r="AJ50" i="342" s="1"/>
  <c r="AH10" i="342" a="1"/>
  <c r="AH10" i="342" s="1"/>
  <c r="A10" i="342"/>
  <c r="C4" i="342"/>
  <c r="L3" i="342"/>
  <c r="AB7" i="342" s="1"/>
  <c r="AB78" i="342" s="1"/>
  <c r="K1" i="342"/>
  <c r="AK10" i="330"/>
  <c r="AJ11" i="330"/>
  <c r="AJ12" i="330"/>
  <c r="AJ13" i="330"/>
  <c r="AJ14" i="330"/>
  <c r="AJ15" i="330"/>
  <c r="AJ16" i="330"/>
  <c r="AJ17" i="330"/>
  <c r="AJ18" i="330"/>
  <c r="AJ19" i="330"/>
  <c r="AJ20" i="330"/>
  <c r="AJ21" i="330"/>
  <c r="AJ22" i="330"/>
  <c r="AJ23" i="330"/>
  <c r="AJ24" i="330"/>
  <c r="AJ25" i="330"/>
  <c r="AJ26" i="330"/>
  <c r="AJ27" i="330"/>
  <c r="AJ28" i="330"/>
  <c r="AJ29" i="330"/>
  <c r="AJ30" i="330"/>
  <c r="AJ31" i="330"/>
  <c r="AJ32" i="330"/>
  <c r="AJ33" i="330"/>
  <c r="AJ34" i="330"/>
  <c r="AJ35" i="330"/>
  <c r="AJ36" i="330"/>
  <c r="AJ37" i="330"/>
  <c r="AJ38" i="330"/>
  <c r="AJ39" i="330"/>
  <c r="AJ40" i="330"/>
  <c r="AJ41" i="330"/>
  <c r="AJ42" i="330"/>
  <c r="AJ43" i="330"/>
  <c r="AJ44" i="330"/>
  <c r="AJ45" i="330"/>
  <c r="AJ46" i="330"/>
  <c r="AJ47" i="330"/>
  <c r="AJ48" i="330"/>
  <c r="AJ49" i="330"/>
  <c r="AJ10" i="330"/>
  <c r="I7" i="349" l="1"/>
  <c r="I78" i="349" s="1"/>
  <c r="M7" i="349"/>
  <c r="M78" i="349" s="1"/>
  <c r="N6" i="350"/>
  <c r="I7" i="350"/>
  <c r="I78" i="350" s="1"/>
  <c r="AD7" i="350"/>
  <c r="AD78" i="350" s="1"/>
  <c r="O6" i="343"/>
  <c r="N7" i="343"/>
  <c r="N78" i="343" s="1"/>
  <c r="D6" i="349"/>
  <c r="D8" i="349" s="1"/>
  <c r="Q7" i="349"/>
  <c r="Q78" i="349" s="1"/>
  <c r="O6" i="350"/>
  <c r="O8" i="350" s="1"/>
  <c r="J7" i="350"/>
  <c r="J78" i="350" s="1"/>
  <c r="AE7" i="350"/>
  <c r="AE78" i="350" s="1"/>
  <c r="P6" i="343"/>
  <c r="O7" i="343"/>
  <c r="O78" i="343" s="1"/>
  <c r="AD6" i="344"/>
  <c r="AD8" i="344" s="1"/>
  <c r="J6" i="349"/>
  <c r="J8" i="349" s="1"/>
  <c r="R7" i="349"/>
  <c r="R78" i="349" s="1"/>
  <c r="U6" i="350"/>
  <c r="K7" i="350"/>
  <c r="K78" i="350" s="1"/>
  <c r="AF7" i="350"/>
  <c r="AF78" i="350" s="1"/>
  <c r="U7" i="343"/>
  <c r="U78" i="343" s="1"/>
  <c r="M6" i="342"/>
  <c r="M8" i="342" s="1"/>
  <c r="Z6" i="343"/>
  <c r="Z8" i="343" s="1"/>
  <c r="V7" i="343"/>
  <c r="V78" i="343" s="1"/>
  <c r="E6" i="343"/>
  <c r="E8" i="343" s="1"/>
  <c r="AC6" i="343"/>
  <c r="AC8" i="343" s="1"/>
  <c r="AA7" i="343"/>
  <c r="AA78" i="343" s="1"/>
  <c r="V7" i="344"/>
  <c r="V78" i="344" s="1"/>
  <c r="AA7" i="345"/>
  <c r="AA78" i="345" s="1"/>
  <c r="X7" i="347"/>
  <c r="X78" i="347" s="1"/>
  <c r="K7" i="348"/>
  <c r="K78" i="348" s="1"/>
  <c r="S6" i="349"/>
  <c r="S8" i="349" s="1"/>
  <c r="G6" i="350"/>
  <c r="G8" i="350" s="1"/>
  <c r="AB6" i="350"/>
  <c r="T7" i="350"/>
  <c r="T78" i="350" s="1"/>
  <c r="V7" i="352"/>
  <c r="V78" i="352" s="1"/>
  <c r="T7" i="349"/>
  <c r="T78" i="349" s="1"/>
  <c r="O6" i="349"/>
  <c r="N7" i="350"/>
  <c r="N78" i="350" s="1"/>
  <c r="X7" i="349"/>
  <c r="X78" i="349" s="1"/>
  <c r="O7" i="350"/>
  <c r="O78" i="350" s="1"/>
  <c r="AA6" i="350"/>
  <c r="AA8" i="350" s="1"/>
  <c r="F6" i="343"/>
  <c r="F8" i="343" s="1"/>
  <c r="AD6" i="343"/>
  <c r="AD8" i="343" s="1"/>
  <c r="AB7" i="343"/>
  <c r="AB78" i="343" s="1"/>
  <c r="C6" i="344"/>
  <c r="C8" i="344" s="1"/>
  <c r="AB7" i="344"/>
  <c r="AB78" i="344" s="1"/>
  <c r="AB7" i="345"/>
  <c r="AB78" i="345" s="1"/>
  <c r="Y7" i="347"/>
  <c r="Y78" i="347" s="1"/>
  <c r="X7" i="348"/>
  <c r="X78" i="348" s="1"/>
  <c r="T6" i="349"/>
  <c r="H6" i="350"/>
  <c r="AC6" i="350"/>
  <c r="U7" i="350"/>
  <c r="U78" i="350" s="1"/>
  <c r="O6" i="351"/>
  <c r="O8" i="351" s="1"/>
  <c r="V6" i="350"/>
  <c r="L7" i="350"/>
  <c r="L78" i="350" s="1"/>
  <c r="L6" i="349"/>
  <c r="L8" i="349" s="1"/>
  <c r="M7" i="350"/>
  <c r="M78" i="350" s="1"/>
  <c r="P6" i="342"/>
  <c r="P8" i="342" s="1"/>
  <c r="C6" i="343"/>
  <c r="C8" i="343" s="1"/>
  <c r="AA6" i="343"/>
  <c r="AA8" i="343" s="1"/>
  <c r="Y7" i="343"/>
  <c r="Y78" i="343" s="1"/>
  <c r="D6" i="343"/>
  <c r="D8" i="343" s="1"/>
  <c r="AB6" i="343"/>
  <c r="AB8" i="343" s="1"/>
  <c r="G6" i="343"/>
  <c r="AG6" i="343"/>
  <c r="AG8" i="343" s="1"/>
  <c r="AC7" i="343"/>
  <c r="AC78" i="343" s="1"/>
  <c r="D6" i="344"/>
  <c r="Z7" i="347"/>
  <c r="Z78" i="347" s="1"/>
  <c r="Y7" i="348"/>
  <c r="Y78" i="348" s="1"/>
  <c r="V6" i="349"/>
  <c r="I6" i="350"/>
  <c r="I8" i="350" s="1"/>
  <c r="AD6" i="350"/>
  <c r="AD8" i="350" s="1"/>
  <c r="V7" i="350"/>
  <c r="V78" i="350" s="1"/>
  <c r="X6" i="351"/>
  <c r="X8" i="351" s="1"/>
  <c r="K6" i="349"/>
  <c r="K8" i="349" s="1"/>
  <c r="AG7" i="350"/>
  <c r="AG78" i="350" s="1"/>
  <c r="C6" i="350"/>
  <c r="C8" i="350" s="1"/>
  <c r="P6" i="349"/>
  <c r="P8" i="349" s="1"/>
  <c r="Z7" i="343"/>
  <c r="Z78" i="343" s="1"/>
  <c r="U7" i="344"/>
  <c r="U78" i="344" s="1"/>
  <c r="K6" i="348"/>
  <c r="K8" i="348" s="1"/>
  <c r="H6" i="343"/>
  <c r="H8" i="343" s="1"/>
  <c r="D7" i="343"/>
  <c r="D78" i="343" s="1"/>
  <c r="AD7" i="343"/>
  <c r="AD78" i="343" s="1"/>
  <c r="E6" i="344"/>
  <c r="AB7" i="347"/>
  <c r="AB78" i="347" s="1"/>
  <c r="E7" i="349"/>
  <c r="E78" i="349" s="1"/>
  <c r="J6" i="350"/>
  <c r="J8" i="350" s="1"/>
  <c r="AE6" i="350"/>
  <c r="AE8" i="350" s="1"/>
  <c r="Z7" i="350"/>
  <c r="Z78" i="350" s="1"/>
  <c r="Y6" i="351"/>
  <c r="Y8" i="351" s="1"/>
  <c r="S7" i="349"/>
  <c r="S78" i="349" s="1"/>
  <c r="Y6" i="343"/>
  <c r="Y8" i="343" s="1"/>
  <c r="Y6" i="350"/>
  <c r="Y8" i="350" s="1"/>
  <c r="Q6" i="349"/>
  <c r="R6" i="349"/>
  <c r="F6" i="350"/>
  <c r="F8" i="350" s="1"/>
  <c r="T7" i="352"/>
  <c r="T78" i="352" s="1"/>
  <c r="I6" i="343"/>
  <c r="F7" i="343"/>
  <c r="F78" i="343" s="1"/>
  <c r="AE7" i="343"/>
  <c r="AE78" i="343" s="1"/>
  <c r="H6" i="344"/>
  <c r="H8" i="344" s="1"/>
  <c r="H6" i="347"/>
  <c r="AC7" i="347"/>
  <c r="AC78" i="347" s="1"/>
  <c r="F7" i="349"/>
  <c r="F78" i="349" s="1"/>
  <c r="K6" i="350"/>
  <c r="AF6" i="350"/>
  <c r="AF8" i="350" s="1"/>
  <c r="AA7" i="350"/>
  <c r="AA78" i="350" s="1"/>
  <c r="AF6" i="351"/>
  <c r="AF8" i="351" s="1"/>
  <c r="W6" i="350"/>
  <c r="W8" i="350" s="1"/>
  <c r="U7" i="349"/>
  <c r="U78" i="349" s="1"/>
  <c r="X6" i="350"/>
  <c r="X8" i="350" s="1"/>
  <c r="D6" i="350"/>
  <c r="Y7" i="349"/>
  <c r="Y78" i="349" s="1"/>
  <c r="E6" i="350"/>
  <c r="Z6" i="350"/>
  <c r="Z8" i="350" s="1"/>
  <c r="P7" i="350"/>
  <c r="P78" i="350" s="1"/>
  <c r="Q7" i="350"/>
  <c r="Q78" i="350" s="1"/>
  <c r="J6" i="343"/>
  <c r="J8" i="343" s="1"/>
  <c r="H7" i="343"/>
  <c r="H78" i="343" s="1"/>
  <c r="I6" i="344"/>
  <c r="I8" i="344" s="1"/>
  <c r="G7" i="349"/>
  <c r="G78" i="349" s="1"/>
  <c r="L6" i="350"/>
  <c r="D7" i="350"/>
  <c r="D78" i="350" s="1"/>
  <c r="AB7" i="350"/>
  <c r="AB78" i="350" s="1"/>
  <c r="AG6" i="351"/>
  <c r="AG8" i="351" s="1"/>
  <c r="P6" i="346"/>
  <c r="I7" i="346"/>
  <c r="I78" i="346" s="1"/>
  <c r="AC7" i="346"/>
  <c r="AC78" i="346" s="1"/>
  <c r="AB8" i="350"/>
  <c r="Y6" i="344"/>
  <c r="Y8" i="344" s="1"/>
  <c r="Q7" i="344"/>
  <c r="Q78" i="344" s="1"/>
  <c r="R6" i="346"/>
  <c r="R8" i="346" s="1"/>
  <c r="J7" i="346"/>
  <c r="J78" i="346" s="1"/>
  <c r="AD7" i="346"/>
  <c r="AD78" i="346" s="1"/>
  <c r="N7" i="348"/>
  <c r="N78" i="348" s="1"/>
  <c r="AC8" i="350"/>
  <c r="P6" i="351"/>
  <c r="P8" i="351" s="1"/>
  <c r="AF7" i="351"/>
  <c r="AF78" i="351" s="1"/>
  <c r="L6" i="342"/>
  <c r="L8" i="342" s="1"/>
  <c r="AA6" i="344"/>
  <c r="AA8" i="344" s="1"/>
  <c r="R7" i="344"/>
  <c r="R78" i="344" s="1"/>
  <c r="U6" i="346"/>
  <c r="K7" i="346"/>
  <c r="K78" i="346" s="1"/>
  <c r="AE7" i="346"/>
  <c r="AE78" i="346" s="1"/>
  <c r="L6" i="347"/>
  <c r="N7" i="347"/>
  <c r="N78" i="347" s="1"/>
  <c r="U7" i="348"/>
  <c r="U78" i="348" s="1"/>
  <c r="Q6" i="351"/>
  <c r="AG7" i="351"/>
  <c r="AG78" i="351" s="1"/>
  <c r="AF6" i="352"/>
  <c r="AF8" i="352" s="1"/>
  <c r="V6" i="346"/>
  <c r="V8" i="346" s="1"/>
  <c r="L7" i="346"/>
  <c r="L78" i="346" s="1"/>
  <c r="AF7" i="346"/>
  <c r="AF78" i="346" s="1"/>
  <c r="W7" i="348"/>
  <c r="W78" i="348" s="1"/>
  <c r="S7" i="352"/>
  <c r="S78" i="352" s="1"/>
  <c r="AG7" i="346"/>
  <c r="AG78" i="346" s="1"/>
  <c r="E6" i="346"/>
  <c r="O7" i="346"/>
  <c r="O78" i="346" s="1"/>
  <c r="P6" i="348"/>
  <c r="P8" i="348" s="1"/>
  <c r="H6" i="346"/>
  <c r="AB6" i="346"/>
  <c r="Q7" i="346"/>
  <c r="Q78" i="346" s="1"/>
  <c r="AC6" i="346"/>
  <c r="V7" i="346"/>
  <c r="V78" i="346" s="1"/>
  <c r="AE6" i="347"/>
  <c r="AF7" i="347"/>
  <c r="AF78" i="347" s="1"/>
  <c r="U6" i="348"/>
  <c r="U8" i="348" s="1"/>
  <c r="M7" i="351"/>
  <c r="M78" i="351" s="1"/>
  <c r="AC7" i="342"/>
  <c r="AC78" i="342" s="1"/>
  <c r="T6" i="343"/>
  <c r="T8" i="343" s="1"/>
  <c r="K7" i="343"/>
  <c r="K78" i="343" s="1"/>
  <c r="AF7" i="343"/>
  <c r="AF78" i="343" s="1"/>
  <c r="N6" i="344"/>
  <c r="I7" i="344"/>
  <c r="I78" i="344" s="1"/>
  <c r="AG7" i="344"/>
  <c r="AG78" i="344" s="1"/>
  <c r="AC7" i="345"/>
  <c r="AC78" i="345" s="1"/>
  <c r="K6" i="346"/>
  <c r="AE6" i="346"/>
  <c r="W7" i="346"/>
  <c r="W78" i="346" s="1"/>
  <c r="C6" i="347"/>
  <c r="D7" i="347"/>
  <c r="D78" i="347" s="1"/>
  <c r="AG7" i="347"/>
  <c r="AG78" i="347" s="1"/>
  <c r="V6" i="348"/>
  <c r="Z6" i="349"/>
  <c r="AG7" i="349"/>
  <c r="AG78" i="349" s="1"/>
  <c r="P6" i="350"/>
  <c r="P8" i="350" s="1"/>
  <c r="E7" i="350"/>
  <c r="E78" i="350" s="1"/>
  <c r="W7" i="350"/>
  <c r="W78" i="350" s="1"/>
  <c r="K8" i="350"/>
  <c r="I6" i="351"/>
  <c r="N7" i="351"/>
  <c r="N78" i="351" s="1"/>
  <c r="AB6" i="342"/>
  <c r="AB8" i="342" s="1"/>
  <c r="Z7" i="348"/>
  <c r="Z78" i="348" s="1"/>
  <c r="AG6" i="344"/>
  <c r="AC7" i="344"/>
  <c r="AC78" i="344" s="1"/>
  <c r="J7" i="351"/>
  <c r="J78" i="351" s="1"/>
  <c r="N7" i="342"/>
  <c r="N78" i="342" s="1"/>
  <c r="AF7" i="344"/>
  <c r="AF78" i="344" s="1"/>
  <c r="AD6" i="346"/>
  <c r="H6" i="351"/>
  <c r="H8" i="351" s="1"/>
  <c r="U6" i="343"/>
  <c r="U8" i="343" s="1"/>
  <c r="L7" i="343"/>
  <c r="L78" i="343" s="1"/>
  <c r="AG7" i="343"/>
  <c r="AG78" i="343" s="1"/>
  <c r="O6" i="344"/>
  <c r="L7" i="344"/>
  <c r="L78" i="344" s="1"/>
  <c r="L6" i="346"/>
  <c r="AF6" i="346"/>
  <c r="Y7" i="346"/>
  <c r="Y78" i="346" s="1"/>
  <c r="D6" i="347"/>
  <c r="F7" i="347"/>
  <c r="F78" i="347" s="1"/>
  <c r="X6" i="348"/>
  <c r="AF6" i="349"/>
  <c r="AF8" i="349" s="1"/>
  <c r="S6" i="350"/>
  <c r="F7" i="350"/>
  <c r="F78" i="350" s="1"/>
  <c r="X7" i="350"/>
  <c r="X78" i="350" s="1"/>
  <c r="J6" i="351"/>
  <c r="O7" i="351"/>
  <c r="O78" i="351" s="1"/>
  <c r="S6" i="352"/>
  <c r="M7" i="342"/>
  <c r="M78" i="342" s="1"/>
  <c r="AD7" i="347"/>
  <c r="AD78" i="347" s="1"/>
  <c r="T6" i="348"/>
  <c r="T8" i="348" s="1"/>
  <c r="K7" i="351"/>
  <c r="K78" i="351" s="1"/>
  <c r="Q7" i="342"/>
  <c r="Q78" i="342" s="1"/>
  <c r="AD7" i="342"/>
  <c r="AD78" i="342" s="1"/>
  <c r="AG7" i="342"/>
  <c r="AG78" i="342" s="1"/>
  <c r="W6" i="343"/>
  <c r="W8" i="343" s="1"/>
  <c r="M7" i="343"/>
  <c r="M78" i="343" s="1"/>
  <c r="R6" i="344"/>
  <c r="M7" i="344"/>
  <c r="M78" i="344" s="1"/>
  <c r="M6" i="346"/>
  <c r="C7" i="346"/>
  <c r="C78" i="346" s="1"/>
  <c r="Z7" i="346"/>
  <c r="Z78" i="346" s="1"/>
  <c r="E6" i="347"/>
  <c r="G7" i="347"/>
  <c r="G78" i="347" s="1"/>
  <c r="S8" i="347"/>
  <c r="AC6" i="348"/>
  <c r="AG6" i="349"/>
  <c r="AG8" i="349" s="1"/>
  <c r="T6" i="350"/>
  <c r="G7" i="350"/>
  <c r="G78" i="350" s="1"/>
  <c r="Y7" i="350"/>
  <c r="Y78" i="350" s="1"/>
  <c r="L6" i="351"/>
  <c r="P7" i="351"/>
  <c r="P78" i="351" s="1"/>
  <c r="T6" i="352"/>
  <c r="M7" i="346"/>
  <c r="M78" i="346" s="1"/>
  <c r="Y6" i="346"/>
  <c r="Y8" i="346" s="1"/>
  <c r="N7" i="346"/>
  <c r="N78" i="346" s="1"/>
  <c r="Z6" i="346"/>
  <c r="Z8" i="346" s="1"/>
  <c r="F6" i="346"/>
  <c r="F8" i="346" s="1"/>
  <c r="AA6" i="346"/>
  <c r="P7" i="346"/>
  <c r="P78" i="346" s="1"/>
  <c r="Q6" i="348"/>
  <c r="Q8" i="348" s="1"/>
  <c r="L6" i="344"/>
  <c r="AE7" i="344"/>
  <c r="AE78" i="344" s="1"/>
  <c r="I6" i="346"/>
  <c r="F7" i="344"/>
  <c r="F78" i="344" s="1"/>
  <c r="J6" i="346"/>
  <c r="O8" i="343"/>
  <c r="S6" i="344"/>
  <c r="N7" i="344"/>
  <c r="N78" i="344" s="1"/>
  <c r="N6" i="346"/>
  <c r="F7" i="346"/>
  <c r="F78" i="346" s="1"/>
  <c r="AA7" i="346"/>
  <c r="AA78" i="346" s="1"/>
  <c r="F6" i="347"/>
  <c r="F8" i="347" s="1"/>
  <c r="H7" i="347"/>
  <c r="H78" i="347" s="1"/>
  <c r="AG6" i="348"/>
  <c r="AG8" i="348" s="1"/>
  <c r="D7" i="349"/>
  <c r="D78" i="349" s="1"/>
  <c r="M6" i="351"/>
  <c r="Q7" i="351"/>
  <c r="Q78" i="351" s="1"/>
  <c r="U6" i="352"/>
  <c r="X6" i="346"/>
  <c r="AC6" i="342"/>
  <c r="AC8" i="342" s="1"/>
  <c r="AF6" i="342"/>
  <c r="AA7" i="348"/>
  <c r="AA78" i="348" s="1"/>
  <c r="K6" i="344"/>
  <c r="S6" i="348"/>
  <c r="AB7" i="348"/>
  <c r="AB78" i="348" s="1"/>
  <c r="H8" i="350"/>
  <c r="C7" i="344"/>
  <c r="C78" i="344" s="1"/>
  <c r="S7" i="346"/>
  <c r="S78" i="346" s="1"/>
  <c r="M6" i="344"/>
  <c r="M8" i="344" s="1"/>
  <c r="P8" i="343"/>
  <c r="U6" i="344"/>
  <c r="O7" i="344"/>
  <c r="O78" i="344" s="1"/>
  <c r="O6" i="346"/>
  <c r="G7" i="346"/>
  <c r="G78" i="346" s="1"/>
  <c r="AB7" i="346"/>
  <c r="AB78" i="346" s="1"/>
  <c r="G6" i="347"/>
  <c r="I7" i="347"/>
  <c r="I78" i="347" s="1"/>
  <c r="N6" i="351"/>
  <c r="R7" i="351"/>
  <c r="R78" i="351" s="1"/>
  <c r="AI21" i="345"/>
  <c r="AO21" i="345" s="1"/>
  <c r="AP21" i="345" s="1"/>
  <c r="AO16" i="344"/>
  <c r="AP16" i="344" s="1"/>
  <c r="AI16" i="344"/>
  <c r="AI31" i="349"/>
  <c r="AH50" i="349"/>
  <c r="AI22" i="347"/>
  <c r="AO22" i="347" s="1"/>
  <c r="AP22" i="347" s="1"/>
  <c r="AI19" i="348"/>
  <c r="AO19" i="348" s="1"/>
  <c r="AP19" i="348" s="1"/>
  <c r="AI24" i="352"/>
  <c r="AO24" i="352" s="1"/>
  <c r="AP24" i="352" s="1"/>
  <c r="AI23" i="345"/>
  <c r="AO23" i="345" s="1"/>
  <c r="AP23" i="345" s="1"/>
  <c r="AI19" i="344"/>
  <c r="AO19" i="344" s="1"/>
  <c r="AP19" i="344" s="1"/>
  <c r="AI13" i="343"/>
  <c r="AO13" i="343" s="1"/>
  <c r="AP13" i="343" s="1"/>
  <c r="AO23" i="343"/>
  <c r="AP23" i="343" s="1"/>
  <c r="AI23" i="343"/>
  <c r="AO26" i="344"/>
  <c r="AP26" i="344" s="1"/>
  <c r="AI26" i="344"/>
  <c r="AI24" i="351"/>
  <c r="AO24" i="351" s="1"/>
  <c r="AP24" i="351" s="1"/>
  <c r="AH50" i="345"/>
  <c r="AI13" i="345"/>
  <c r="AO13" i="345" s="1"/>
  <c r="AP13" i="345" s="1"/>
  <c r="AO11" i="344"/>
  <c r="AP11" i="344" s="1"/>
  <c r="AI15" i="344"/>
  <c r="AO15" i="344"/>
  <c r="AP15" i="344" s="1"/>
  <c r="AI20" i="343"/>
  <c r="AO20" i="343"/>
  <c r="AP20" i="343" s="1"/>
  <c r="AO13" i="346"/>
  <c r="AP13" i="346" s="1"/>
  <c r="AI13" i="346"/>
  <c r="AI23" i="346"/>
  <c r="AO23" i="346" s="1"/>
  <c r="AP23" i="346" s="1"/>
  <c r="AI11" i="343"/>
  <c r="AO11" i="343" s="1"/>
  <c r="AP11" i="343" s="1"/>
  <c r="AJ50" i="346"/>
  <c r="AI15" i="350"/>
  <c r="AO15" i="350" s="1"/>
  <c r="AP15" i="350" s="1"/>
  <c r="AI26" i="348"/>
  <c r="AO26" i="348" s="1"/>
  <c r="AP26" i="348" s="1"/>
  <c r="AI12" i="344"/>
  <c r="AO12" i="344" s="1"/>
  <c r="AP12" i="344" s="1"/>
  <c r="AO22" i="344"/>
  <c r="AP22" i="344" s="1"/>
  <c r="AI22" i="344"/>
  <c r="AH50" i="351"/>
  <c r="AI10" i="351"/>
  <c r="AI15" i="345"/>
  <c r="AO15" i="345" s="1"/>
  <c r="AP15" i="345" s="1"/>
  <c r="AI12" i="348"/>
  <c r="AO12" i="348"/>
  <c r="AP12" i="348" s="1"/>
  <c r="AH50" i="348"/>
  <c r="AI23" i="350"/>
  <c r="AO23" i="350" s="1"/>
  <c r="AP23" i="350" s="1"/>
  <c r="AI19" i="345"/>
  <c r="AO19" i="345" s="1"/>
  <c r="AP19" i="345" s="1"/>
  <c r="V8" i="345"/>
  <c r="AO26" i="343"/>
  <c r="AP26" i="343" s="1"/>
  <c r="AI26" i="343"/>
  <c r="AO22" i="346"/>
  <c r="AP22" i="346" s="1"/>
  <c r="AI10" i="343"/>
  <c r="AH50" i="343"/>
  <c r="AO10" i="343"/>
  <c r="AP10" i="343" s="1"/>
  <c r="AO17" i="343"/>
  <c r="AP17" i="343" s="1"/>
  <c r="AI13" i="344"/>
  <c r="AO13" i="344"/>
  <c r="AP13" i="344" s="1"/>
  <c r="AI21" i="348"/>
  <c r="AO21" i="348" s="1"/>
  <c r="AP21" i="348" s="1"/>
  <c r="AI17" i="350"/>
  <c r="AO17" i="350"/>
  <c r="AP17" i="350" s="1"/>
  <c r="AI18" i="343"/>
  <c r="AO18" i="343"/>
  <c r="AP18" i="343" s="1"/>
  <c r="X8" i="344"/>
  <c r="AI22" i="343"/>
  <c r="AO22" i="343"/>
  <c r="AP22" i="343" s="1"/>
  <c r="AI23" i="344"/>
  <c r="AO23" i="344"/>
  <c r="AP23" i="344" s="1"/>
  <c r="AJ50" i="345"/>
  <c r="AO14" i="349"/>
  <c r="AP14" i="349" s="1"/>
  <c r="AI14" i="349"/>
  <c r="AI14" i="344"/>
  <c r="AO14" i="344"/>
  <c r="AP14" i="344" s="1"/>
  <c r="AO24" i="344"/>
  <c r="AP24" i="344" s="1"/>
  <c r="AI24" i="344"/>
  <c r="AI16" i="347"/>
  <c r="AO16" i="347" s="1"/>
  <c r="AP16" i="347" s="1"/>
  <c r="AI17" i="345"/>
  <c r="AI50" i="345" s="1"/>
  <c r="AI26" i="345"/>
  <c r="AO26" i="345"/>
  <c r="AP26" i="345" s="1"/>
  <c r="AO12" i="343"/>
  <c r="AP12" i="343" s="1"/>
  <c r="AI16" i="343"/>
  <c r="AO16" i="343"/>
  <c r="AP16" i="343" s="1"/>
  <c r="AI24" i="343"/>
  <c r="AO24" i="343"/>
  <c r="AP24" i="343" s="1"/>
  <c r="AH50" i="344"/>
  <c r="AI10" i="344"/>
  <c r="AI11" i="347"/>
  <c r="AI50" i="347" s="1"/>
  <c r="AO11" i="347"/>
  <c r="AP11" i="347" s="1"/>
  <c r="AH50" i="347"/>
  <c r="U8" i="345"/>
  <c r="H8" i="347"/>
  <c r="W8" i="345"/>
  <c r="AI15" i="343"/>
  <c r="AO15" i="343" s="1"/>
  <c r="AP15" i="343" s="1"/>
  <c r="AO18" i="344"/>
  <c r="AP18" i="344" s="1"/>
  <c r="AO19" i="343"/>
  <c r="AP19" i="343" s="1"/>
  <c r="AO23" i="348"/>
  <c r="AP23" i="348" s="1"/>
  <c r="AI19" i="349"/>
  <c r="AO19" i="349" s="1"/>
  <c r="AP19" i="349" s="1"/>
  <c r="D8" i="344"/>
  <c r="AI17" i="344"/>
  <c r="AO17" i="344" s="1"/>
  <c r="AP17" i="344" s="1"/>
  <c r="AK50" i="345"/>
  <c r="AH50" i="346"/>
  <c r="G8" i="347"/>
  <c r="E8" i="344"/>
  <c r="AO20" i="346"/>
  <c r="AP20" i="346" s="1"/>
  <c r="AI24" i="345"/>
  <c r="AO24" i="345" s="1"/>
  <c r="AP24" i="345" s="1"/>
  <c r="X8" i="348"/>
  <c r="AI15" i="346"/>
  <c r="AO15" i="346" s="1"/>
  <c r="AP15" i="346" s="1"/>
  <c r="J6" i="345"/>
  <c r="H7" i="345"/>
  <c r="H78" i="345" s="1"/>
  <c r="AI20" i="347"/>
  <c r="AO20" i="347" s="1"/>
  <c r="AP20" i="347" s="1"/>
  <c r="AI11" i="348"/>
  <c r="AO11" i="348" s="1"/>
  <c r="AP11" i="348" s="1"/>
  <c r="R8" i="349"/>
  <c r="AI22" i="349"/>
  <c r="AO22" i="349" s="1"/>
  <c r="AP22" i="349" s="1"/>
  <c r="AJ50" i="350"/>
  <c r="AI18" i="351"/>
  <c r="AO18" i="351" s="1"/>
  <c r="AP18" i="351" s="1"/>
  <c r="AG8" i="345"/>
  <c r="AB8" i="352"/>
  <c r="AI20" i="346"/>
  <c r="AO21" i="344"/>
  <c r="AP21" i="344" s="1"/>
  <c r="L6" i="345"/>
  <c r="I7" i="345"/>
  <c r="I78" i="345" s="1"/>
  <c r="AO10" i="345"/>
  <c r="AP10" i="345" s="1"/>
  <c r="K8" i="346"/>
  <c r="AI18" i="346"/>
  <c r="AO18" i="346" s="1"/>
  <c r="AP18" i="346" s="1"/>
  <c r="AO14" i="347"/>
  <c r="AP14" i="347" s="1"/>
  <c r="AI17" i="347"/>
  <c r="AO17" i="347"/>
  <c r="AP17" i="347" s="1"/>
  <c r="AO16" i="348"/>
  <c r="AP16" i="348" s="1"/>
  <c r="AI26" i="352"/>
  <c r="AO26" i="352" s="1"/>
  <c r="AP26" i="352" s="1"/>
  <c r="AJ50" i="351"/>
  <c r="E7" i="345"/>
  <c r="E78" i="345" s="1"/>
  <c r="X8" i="346"/>
  <c r="AK50" i="347"/>
  <c r="AI18" i="350"/>
  <c r="AO18" i="350"/>
  <c r="AP18" i="350" s="1"/>
  <c r="F7" i="345"/>
  <c r="F78" i="345" s="1"/>
  <c r="M6" i="343"/>
  <c r="AE6" i="343"/>
  <c r="R7" i="343"/>
  <c r="R78" i="343" s="1"/>
  <c r="P6" i="344"/>
  <c r="D7" i="344"/>
  <c r="D78" i="344" s="1"/>
  <c r="Y7" i="344"/>
  <c r="Y78" i="344" s="1"/>
  <c r="N6" i="345"/>
  <c r="J7" i="345"/>
  <c r="J78" i="345" s="1"/>
  <c r="I8" i="346"/>
  <c r="AB8" i="347"/>
  <c r="AI14" i="347"/>
  <c r="T8" i="349"/>
  <c r="AI15" i="351"/>
  <c r="AO15" i="351" s="1"/>
  <c r="AP15" i="351" s="1"/>
  <c r="AK50" i="352"/>
  <c r="AI16" i="352"/>
  <c r="AO16" i="352" s="1"/>
  <c r="AP16" i="352" s="1"/>
  <c r="AI15" i="349"/>
  <c r="AO15" i="349" s="1"/>
  <c r="AP15" i="349" s="1"/>
  <c r="AO17" i="351"/>
  <c r="AP17" i="351" s="1"/>
  <c r="N6" i="343"/>
  <c r="AF6" i="343"/>
  <c r="G8" i="343"/>
  <c r="Q6" i="344"/>
  <c r="E7" i="344"/>
  <c r="E78" i="344" s="1"/>
  <c r="P6" i="345"/>
  <c r="AO10" i="352"/>
  <c r="AP10" i="352" s="1"/>
  <c r="AD8" i="345"/>
  <c r="T7" i="345"/>
  <c r="T78" i="345" s="1"/>
  <c r="D7" i="345"/>
  <c r="D78" i="345" s="1"/>
  <c r="S6" i="345"/>
  <c r="C6" i="345"/>
  <c r="AF7" i="345"/>
  <c r="AF78" i="345" s="1"/>
  <c r="P7" i="345"/>
  <c r="P78" i="345" s="1"/>
  <c r="AE6" i="345"/>
  <c r="O6" i="345"/>
  <c r="AD7" i="345"/>
  <c r="AD78" i="345" s="1"/>
  <c r="N7" i="345"/>
  <c r="N78" i="345" s="1"/>
  <c r="AC6" i="345"/>
  <c r="M6" i="345"/>
  <c r="U7" i="345"/>
  <c r="U78" i="345" s="1"/>
  <c r="AF6" i="345"/>
  <c r="K6" i="345"/>
  <c r="R7" i="345"/>
  <c r="R78" i="345" s="1"/>
  <c r="AB6" i="345"/>
  <c r="I6" i="345"/>
  <c r="Q7" i="345"/>
  <c r="Q78" i="345" s="1"/>
  <c r="AA6" i="345"/>
  <c r="H6" i="345"/>
  <c r="O7" i="345"/>
  <c r="O78" i="345" s="1"/>
  <c r="Z6" i="345"/>
  <c r="G6" i="345"/>
  <c r="M7" i="345"/>
  <c r="M78" i="345" s="1"/>
  <c r="Y6" i="345"/>
  <c r="F6" i="345"/>
  <c r="AG7" i="345"/>
  <c r="AG78" i="345" s="1"/>
  <c r="L7" i="345"/>
  <c r="L78" i="345" s="1"/>
  <c r="X6" i="345"/>
  <c r="E6" i="345"/>
  <c r="AE7" i="345"/>
  <c r="AE78" i="345" s="1"/>
  <c r="AO26" i="346"/>
  <c r="AP26" i="346" s="1"/>
  <c r="AI26" i="346"/>
  <c r="AC8" i="344"/>
  <c r="D6" i="345"/>
  <c r="G7" i="345"/>
  <c r="G78" i="345" s="1"/>
  <c r="I8" i="343"/>
  <c r="Q6" i="345"/>
  <c r="S7" i="345"/>
  <c r="S78" i="345" s="1"/>
  <c r="AO16" i="346"/>
  <c r="AP16" i="346" s="1"/>
  <c r="AO10" i="349"/>
  <c r="AP10" i="349" s="1"/>
  <c r="AI12" i="351"/>
  <c r="AO12" i="351" s="1"/>
  <c r="AP12" i="351" s="1"/>
  <c r="AJ50" i="348"/>
  <c r="AI12" i="349"/>
  <c r="AO12" i="349" s="1"/>
  <c r="AP12" i="349" s="1"/>
  <c r="AO12" i="345"/>
  <c r="AP12" i="345" s="1"/>
  <c r="AO13" i="347"/>
  <c r="AP13" i="347" s="1"/>
  <c r="Q8" i="349"/>
  <c r="R6" i="345"/>
  <c r="V7" i="345"/>
  <c r="V78" i="345" s="1"/>
  <c r="AO11" i="345"/>
  <c r="AP11" i="345" s="1"/>
  <c r="AO18" i="345"/>
  <c r="AP18" i="345" s="1"/>
  <c r="D8" i="347"/>
  <c r="AI18" i="347"/>
  <c r="AO18" i="347" s="1"/>
  <c r="AP18" i="347" s="1"/>
  <c r="AI17" i="348"/>
  <c r="AO17" i="348"/>
  <c r="AP17" i="348" s="1"/>
  <c r="AI10" i="350"/>
  <c r="AH50" i="350"/>
  <c r="AO10" i="350"/>
  <c r="AP10" i="350" s="1"/>
  <c r="AI13" i="350"/>
  <c r="AO13" i="350" s="1"/>
  <c r="AP13" i="350" s="1"/>
  <c r="AI11" i="352"/>
  <c r="AO11" i="352" s="1"/>
  <c r="AP11" i="352" s="1"/>
  <c r="I8" i="347"/>
  <c r="AO21" i="349"/>
  <c r="AP21" i="349" s="1"/>
  <c r="O8" i="349"/>
  <c r="W7" i="343"/>
  <c r="W78" i="343" s="1"/>
  <c r="G7" i="343"/>
  <c r="G78" i="343" s="1"/>
  <c r="V6" i="343"/>
  <c r="S7" i="343"/>
  <c r="S78" i="343" s="1"/>
  <c r="C7" i="343"/>
  <c r="C78" i="343" s="1"/>
  <c r="R6" i="343"/>
  <c r="Q6" i="343"/>
  <c r="E7" i="343"/>
  <c r="E78" i="343" s="1"/>
  <c r="X7" i="343"/>
  <c r="X78" i="343" s="1"/>
  <c r="AA7" i="344"/>
  <c r="AA78" i="344" s="1"/>
  <c r="K7" i="344"/>
  <c r="K78" i="344" s="1"/>
  <c r="Z6" i="344"/>
  <c r="J6" i="344"/>
  <c r="X7" i="344"/>
  <c r="X78" i="344" s="1"/>
  <c r="H7" i="344"/>
  <c r="H78" i="344" s="1"/>
  <c r="W6" i="344"/>
  <c r="G6" i="344"/>
  <c r="W7" i="344"/>
  <c r="W78" i="344" s="1"/>
  <c r="G7" i="344"/>
  <c r="G78" i="344" s="1"/>
  <c r="V6" i="344"/>
  <c r="F6" i="344"/>
  <c r="T6" i="344"/>
  <c r="J7" i="344"/>
  <c r="J78" i="344" s="1"/>
  <c r="AD7" i="344"/>
  <c r="AD78" i="344" s="1"/>
  <c r="T6" i="345"/>
  <c r="W7" i="345"/>
  <c r="W78" i="345" s="1"/>
  <c r="AI11" i="345"/>
  <c r="E8" i="347"/>
  <c r="AI20" i="352"/>
  <c r="AO20" i="352" s="1"/>
  <c r="AP20" i="352" s="1"/>
  <c r="AO14" i="346"/>
  <c r="AP14" i="346" s="1"/>
  <c r="S7" i="348"/>
  <c r="S78" i="348" s="1"/>
  <c r="C7" i="348"/>
  <c r="C78" i="348" s="1"/>
  <c r="R6" i="348"/>
  <c r="AF7" i="348"/>
  <c r="AF78" i="348" s="1"/>
  <c r="P7" i="348"/>
  <c r="P78" i="348" s="1"/>
  <c r="AE6" i="348"/>
  <c r="O6" i="348"/>
  <c r="AE7" i="348"/>
  <c r="AE78" i="348" s="1"/>
  <c r="O7" i="348"/>
  <c r="O78" i="348" s="1"/>
  <c r="AD6" i="348"/>
  <c r="N6" i="348"/>
  <c r="AC7" i="348"/>
  <c r="AC78" i="348" s="1"/>
  <c r="M7" i="348"/>
  <c r="M78" i="348" s="1"/>
  <c r="AB6" i="348"/>
  <c r="L6" i="348"/>
  <c r="V7" i="348"/>
  <c r="V78" i="348" s="1"/>
  <c r="AF6" i="348"/>
  <c r="I6" i="348"/>
  <c r="T7" i="348"/>
  <c r="T78" i="348" s="1"/>
  <c r="AA6" i="348"/>
  <c r="G6" i="348"/>
  <c r="R7" i="348"/>
  <c r="R78" i="348" s="1"/>
  <c r="Z6" i="348"/>
  <c r="F6" i="348"/>
  <c r="Q7" i="348"/>
  <c r="Q78" i="348" s="1"/>
  <c r="Y6" i="348"/>
  <c r="E6" i="348"/>
  <c r="L7" i="348"/>
  <c r="L78" i="348" s="1"/>
  <c r="W6" i="348"/>
  <c r="C6" i="348"/>
  <c r="D7" i="348"/>
  <c r="D78" i="348" s="1"/>
  <c r="AD7" i="348"/>
  <c r="AD78" i="348" s="1"/>
  <c r="I8" i="351"/>
  <c r="AC8" i="352"/>
  <c r="AI12" i="347"/>
  <c r="AO12" i="347" s="1"/>
  <c r="AP12" i="347" s="1"/>
  <c r="E7" i="348"/>
  <c r="E78" i="348" s="1"/>
  <c r="AG7" i="348"/>
  <c r="AG78" i="348" s="1"/>
  <c r="AK50" i="350"/>
  <c r="AO21" i="351"/>
  <c r="AP21" i="351" s="1"/>
  <c r="AD8" i="352"/>
  <c r="AI21" i="352"/>
  <c r="AO21" i="352"/>
  <c r="AP21" i="352" s="1"/>
  <c r="AO12" i="346"/>
  <c r="AP12" i="346" s="1"/>
  <c r="T6" i="347"/>
  <c r="M7" i="347"/>
  <c r="M78" i="347" s="1"/>
  <c r="D6" i="348"/>
  <c r="F7" i="348"/>
  <c r="F78" i="348" s="1"/>
  <c r="AO19" i="351"/>
  <c r="AP19" i="351" s="1"/>
  <c r="H6" i="348"/>
  <c r="G7" i="348"/>
  <c r="G78" i="348" s="1"/>
  <c r="AI10" i="348"/>
  <c r="AO10" i="348" s="1"/>
  <c r="AP10" i="348" s="1"/>
  <c r="AO10" i="346"/>
  <c r="AP10" i="346" s="1"/>
  <c r="V6" i="347"/>
  <c r="J6" i="348"/>
  <c r="H7" i="348"/>
  <c r="H78" i="348" s="1"/>
  <c r="AO17" i="349"/>
  <c r="AP17" i="349" s="1"/>
  <c r="AI26" i="349"/>
  <c r="AO26" i="349" s="1"/>
  <c r="AP26" i="349" s="1"/>
  <c r="L8" i="350"/>
  <c r="AI22" i="351"/>
  <c r="AO22" i="351" s="1"/>
  <c r="AP22" i="351" s="1"/>
  <c r="AH50" i="352"/>
  <c r="AI50" i="346"/>
  <c r="AI23" i="347"/>
  <c r="AO23" i="347" s="1"/>
  <c r="AP23" i="347" s="1"/>
  <c r="AI23" i="349"/>
  <c r="AO23" i="349" s="1"/>
  <c r="AP23" i="349" s="1"/>
  <c r="M8" i="350"/>
  <c r="AI20" i="350"/>
  <c r="AO20" i="350"/>
  <c r="AP20" i="350" s="1"/>
  <c r="AI13" i="351"/>
  <c r="AO13" i="351" s="1"/>
  <c r="AP13" i="351" s="1"/>
  <c r="AO24" i="346"/>
  <c r="AP24" i="346" s="1"/>
  <c r="AE7" i="347"/>
  <c r="AE78" i="347" s="1"/>
  <c r="O7" i="347"/>
  <c r="O78" i="347" s="1"/>
  <c r="AD6" i="347"/>
  <c r="N6" i="347"/>
  <c r="AA7" i="347"/>
  <c r="AA78" i="347" s="1"/>
  <c r="K7" i="347"/>
  <c r="K78" i="347" s="1"/>
  <c r="Z6" i="347"/>
  <c r="J6" i="347"/>
  <c r="W7" i="347"/>
  <c r="W78" i="347" s="1"/>
  <c r="E7" i="347"/>
  <c r="E78" i="347" s="1"/>
  <c r="R6" i="347"/>
  <c r="U7" i="347"/>
  <c r="U78" i="347" s="1"/>
  <c r="C7" i="347"/>
  <c r="C78" i="347" s="1"/>
  <c r="P6" i="347"/>
  <c r="T7" i="347"/>
  <c r="T78" i="347" s="1"/>
  <c r="AG6" i="347"/>
  <c r="O6" i="347"/>
  <c r="S7" i="347"/>
  <c r="S78" i="347" s="1"/>
  <c r="AF6" i="347"/>
  <c r="M6" i="347"/>
  <c r="Q7" i="347"/>
  <c r="Q78" i="347" s="1"/>
  <c r="AC6" i="347"/>
  <c r="K6" i="347"/>
  <c r="X6" i="347"/>
  <c r="V7" i="347"/>
  <c r="V78" i="347" s="1"/>
  <c r="Q8" i="347"/>
  <c r="AJ50" i="347"/>
  <c r="AO15" i="347"/>
  <c r="AP15" i="347" s="1"/>
  <c r="M6" i="348"/>
  <c r="J7" i="348"/>
  <c r="J78" i="348" s="1"/>
  <c r="AO20" i="349"/>
  <c r="AP20" i="349" s="1"/>
  <c r="N8" i="350"/>
  <c r="AJ50" i="352"/>
  <c r="AO22" i="352"/>
  <c r="AP22" i="352" s="1"/>
  <c r="Q6" i="346"/>
  <c r="AG6" i="346"/>
  <c r="R7" i="346"/>
  <c r="R78" i="346" s="1"/>
  <c r="AB7" i="352"/>
  <c r="AB78" i="352" s="1"/>
  <c r="L7" i="352"/>
  <c r="L78" i="352" s="1"/>
  <c r="AA6" i="352"/>
  <c r="K6" i="352"/>
  <c r="AA7" i="352"/>
  <c r="AA78" i="352" s="1"/>
  <c r="K7" i="352"/>
  <c r="K78" i="352" s="1"/>
  <c r="Z6" i="352"/>
  <c r="J6" i="352"/>
  <c r="Z7" i="352"/>
  <c r="Z78" i="352" s="1"/>
  <c r="J7" i="352"/>
  <c r="J78" i="352" s="1"/>
  <c r="Y6" i="352"/>
  <c r="I6" i="352"/>
  <c r="Y7" i="352"/>
  <c r="Y78" i="352" s="1"/>
  <c r="I7" i="352"/>
  <c r="I78" i="352" s="1"/>
  <c r="X6" i="352"/>
  <c r="H6" i="352"/>
  <c r="X7" i="352"/>
  <c r="X78" i="352" s="1"/>
  <c r="H7" i="352"/>
  <c r="H78" i="352" s="1"/>
  <c r="W6" i="352"/>
  <c r="G6" i="352"/>
  <c r="W7" i="352"/>
  <c r="W78" i="352" s="1"/>
  <c r="G7" i="352"/>
  <c r="G78" i="352" s="1"/>
  <c r="V6" i="352"/>
  <c r="F6" i="352"/>
  <c r="AF7" i="352"/>
  <c r="AF78" i="352" s="1"/>
  <c r="P7" i="352"/>
  <c r="P78" i="352" s="1"/>
  <c r="AE6" i="352"/>
  <c r="O6" i="352"/>
  <c r="N7" i="352"/>
  <c r="N78" i="352" s="1"/>
  <c r="P6" i="352"/>
  <c r="M7" i="352"/>
  <c r="M78" i="352" s="1"/>
  <c r="N6" i="352"/>
  <c r="F7" i="352"/>
  <c r="F78" i="352" s="1"/>
  <c r="M6" i="352"/>
  <c r="E7" i="352"/>
  <c r="E78" i="352" s="1"/>
  <c r="L6" i="352"/>
  <c r="D7" i="352"/>
  <c r="D78" i="352" s="1"/>
  <c r="E6" i="352"/>
  <c r="AG7" i="352"/>
  <c r="AG78" i="352" s="1"/>
  <c r="C7" i="352"/>
  <c r="C78" i="352" s="1"/>
  <c r="D6" i="352"/>
  <c r="AE7" i="352"/>
  <c r="AE78" i="352" s="1"/>
  <c r="AG6" i="352"/>
  <c r="C6" i="352"/>
  <c r="U7" i="352"/>
  <c r="U78" i="352" s="1"/>
  <c r="T8" i="350"/>
  <c r="AO14" i="351"/>
  <c r="AP14" i="351" s="1"/>
  <c r="AI14" i="351"/>
  <c r="C6" i="346"/>
  <c r="S6" i="346"/>
  <c r="D7" i="346"/>
  <c r="D78" i="346" s="1"/>
  <c r="T7" i="346"/>
  <c r="T78" i="346" s="1"/>
  <c r="AK50" i="348"/>
  <c r="AB6" i="349"/>
  <c r="AJ50" i="349"/>
  <c r="U8" i="350"/>
  <c r="AI17" i="351"/>
  <c r="Q6" i="352"/>
  <c r="AC7" i="352"/>
  <c r="AC78" i="352" s="1"/>
  <c r="D6" i="346"/>
  <c r="T6" i="346"/>
  <c r="E7" i="346"/>
  <c r="E78" i="346" s="1"/>
  <c r="U7" i="346"/>
  <c r="U78" i="346" s="1"/>
  <c r="AK50" i="346"/>
  <c r="AE7" i="349"/>
  <c r="AE78" i="349" s="1"/>
  <c r="O7" i="349"/>
  <c r="O78" i="349" s="1"/>
  <c r="AD6" i="349"/>
  <c r="N6" i="349"/>
  <c r="AD7" i="349"/>
  <c r="AD78" i="349" s="1"/>
  <c r="N7" i="349"/>
  <c r="N78" i="349" s="1"/>
  <c r="AC6" i="349"/>
  <c r="M6" i="349"/>
  <c r="P7" i="349"/>
  <c r="P78" i="349" s="1"/>
  <c r="AA6" i="349"/>
  <c r="I6" i="349"/>
  <c r="AF7" i="349"/>
  <c r="AF78" i="349" s="1"/>
  <c r="L7" i="349"/>
  <c r="L78" i="349" s="1"/>
  <c r="Y6" i="349"/>
  <c r="G6" i="349"/>
  <c r="AC7" i="349"/>
  <c r="AC78" i="349" s="1"/>
  <c r="K7" i="349"/>
  <c r="K78" i="349" s="1"/>
  <c r="X6" i="349"/>
  <c r="F6" i="349"/>
  <c r="AB7" i="349"/>
  <c r="AB78" i="349" s="1"/>
  <c r="J7" i="349"/>
  <c r="J78" i="349" s="1"/>
  <c r="W6" i="349"/>
  <c r="E6" i="349"/>
  <c r="Z7" i="349"/>
  <c r="Z78" i="349" s="1"/>
  <c r="H7" i="349"/>
  <c r="H78" i="349" s="1"/>
  <c r="U6" i="349"/>
  <c r="C6" i="349"/>
  <c r="AE6" i="349"/>
  <c r="W7" i="349"/>
  <c r="W78" i="349" s="1"/>
  <c r="V8" i="349"/>
  <c r="AI16" i="350"/>
  <c r="AO16" i="350"/>
  <c r="AP16" i="350" s="1"/>
  <c r="R6" i="352"/>
  <c r="AD7" i="352"/>
  <c r="AD78" i="352" s="1"/>
  <c r="E8" i="350"/>
  <c r="AO11" i="350"/>
  <c r="AP11" i="350" s="1"/>
  <c r="AO24" i="350"/>
  <c r="AP24" i="350" s="1"/>
  <c r="AO11" i="351"/>
  <c r="AP11" i="351" s="1"/>
  <c r="AI20" i="351"/>
  <c r="AO20" i="351" s="1"/>
  <c r="AP20" i="351" s="1"/>
  <c r="AI26" i="351"/>
  <c r="AO26" i="351" s="1"/>
  <c r="AP26" i="351" s="1"/>
  <c r="G6" i="346"/>
  <c r="W6" i="346"/>
  <c r="H7" i="346"/>
  <c r="H78" i="346" s="1"/>
  <c r="H6" i="349"/>
  <c r="C7" i="349"/>
  <c r="C78" i="349" s="1"/>
  <c r="AA7" i="349"/>
  <c r="AA78" i="349" s="1"/>
  <c r="AI11" i="349"/>
  <c r="AO11" i="349" s="1"/>
  <c r="AP11" i="349" s="1"/>
  <c r="AO24" i="349"/>
  <c r="AP24" i="349" s="1"/>
  <c r="Q8" i="351"/>
  <c r="D8" i="350"/>
  <c r="Z6" i="351"/>
  <c r="Y7" i="351"/>
  <c r="Y78" i="351" s="1"/>
  <c r="AI23" i="351"/>
  <c r="AO23" i="351" s="1"/>
  <c r="AP23" i="351" s="1"/>
  <c r="AI14" i="352"/>
  <c r="AO14" i="352" s="1"/>
  <c r="AP14" i="352" s="1"/>
  <c r="V8" i="350"/>
  <c r="AB6" i="351"/>
  <c r="Z7" i="351"/>
  <c r="Z78" i="351" s="1"/>
  <c r="AO13" i="349"/>
  <c r="AP13" i="349" s="1"/>
  <c r="AC6" i="351"/>
  <c r="AO19" i="352"/>
  <c r="AP19" i="352" s="1"/>
  <c r="AO26" i="350"/>
  <c r="AP26" i="350" s="1"/>
  <c r="AI26" i="350"/>
  <c r="X7" i="351"/>
  <c r="X78" i="351" s="1"/>
  <c r="H7" i="351"/>
  <c r="H78" i="351" s="1"/>
  <c r="W6" i="351"/>
  <c r="G6" i="351"/>
  <c r="W7" i="351"/>
  <c r="W78" i="351" s="1"/>
  <c r="G7" i="351"/>
  <c r="G78" i="351" s="1"/>
  <c r="V6" i="351"/>
  <c r="F6" i="351"/>
  <c r="V7" i="351"/>
  <c r="V78" i="351" s="1"/>
  <c r="F7" i="351"/>
  <c r="F78" i="351" s="1"/>
  <c r="U6" i="351"/>
  <c r="E6" i="351"/>
  <c r="U7" i="351"/>
  <c r="U78" i="351" s="1"/>
  <c r="E7" i="351"/>
  <c r="E78" i="351" s="1"/>
  <c r="T6" i="351"/>
  <c r="D6" i="351"/>
  <c r="T7" i="351"/>
  <c r="T78" i="351" s="1"/>
  <c r="D7" i="351"/>
  <c r="D78" i="351" s="1"/>
  <c r="S6" i="351"/>
  <c r="C6" i="351"/>
  <c r="S7" i="351"/>
  <c r="S78" i="351" s="1"/>
  <c r="C7" i="351"/>
  <c r="C78" i="351" s="1"/>
  <c r="R6" i="351"/>
  <c r="AB7" i="351"/>
  <c r="AB78" i="351" s="1"/>
  <c r="L7" i="351"/>
  <c r="L78" i="351" s="1"/>
  <c r="AA6" i="351"/>
  <c r="K6" i="351"/>
  <c r="AD6" i="351"/>
  <c r="AC7" i="351"/>
  <c r="AC78" i="351" s="1"/>
  <c r="AI16" i="351"/>
  <c r="AO16" i="351" s="1"/>
  <c r="AP16" i="351" s="1"/>
  <c r="AO14" i="350"/>
  <c r="AP14" i="350" s="1"/>
  <c r="AE6" i="351"/>
  <c r="AD7" i="351"/>
  <c r="AD78" i="351" s="1"/>
  <c r="Q6" i="350"/>
  <c r="AG6" i="350"/>
  <c r="R7" i="350"/>
  <c r="R78" i="350" s="1"/>
  <c r="R6" i="350"/>
  <c r="C7" i="350"/>
  <c r="C78" i="350" s="1"/>
  <c r="AI14" i="342"/>
  <c r="AO14" i="342" s="1"/>
  <c r="AP14" i="342" s="1"/>
  <c r="AO10" i="342"/>
  <c r="AP10" i="342" s="1"/>
  <c r="AH50" i="342"/>
  <c r="AI10" i="342"/>
  <c r="AO22" i="342"/>
  <c r="AP22" i="342" s="1"/>
  <c r="AI22" i="342"/>
  <c r="AI11" i="342"/>
  <c r="AO11" i="342" s="1"/>
  <c r="AP11" i="342" s="1"/>
  <c r="AI15" i="342"/>
  <c r="AO15" i="342"/>
  <c r="AP15" i="342" s="1"/>
  <c r="AI19" i="342"/>
  <c r="AO19" i="342"/>
  <c r="AP19" i="342" s="1"/>
  <c r="AI23" i="342"/>
  <c r="AO23" i="342"/>
  <c r="AP23" i="342" s="1"/>
  <c r="AI20" i="342"/>
  <c r="AO20" i="342" s="1"/>
  <c r="AP20" i="342" s="1"/>
  <c r="AI18" i="342"/>
  <c r="AO18" i="342" s="1"/>
  <c r="AP18" i="342" s="1"/>
  <c r="AO12" i="342"/>
  <c r="AP12" i="342" s="1"/>
  <c r="AI12" i="342"/>
  <c r="AO26" i="342"/>
  <c r="AP26" i="342" s="1"/>
  <c r="AI26" i="342"/>
  <c r="AI21" i="342"/>
  <c r="AO21" i="342" s="1"/>
  <c r="AP21" i="342" s="1"/>
  <c r="AI16" i="342"/>
  <c r="AO16" i="342" s="1"/>
  <c r="AP16" i="342" s="1"/>
  <c r="AI24" i="342"/>
  <c r="AO24" i="342" s="1"/>
  <c r="AP24" i="342" s="1"/>
  <c r="AI13" i="342"/>
  <c r="AO13" i="342"/>
  <c r="AP13" i="342" s="1"/>
  <c r="AI17" i="342"/>
  <c r="AO17" i="342" s="1"/>
  <c r="AP17" i="342" s="1"/>
  <c r="N6" i="342"/>
  <c r="AD6" i="342"/>
  <c r="O7" i="342"/>
  <c r="O78" i="342" s="1"/>
  <c r="AE7" i="342"/>
  <c r="AE78" i="342" s="1"/>
  <c r="O6" i="342"/>
  <c r="AE6" i="342"/>
  <c r="P7" i="342"/>
  <c r="P78" i="342" s="1"/>
  <c r="AF7" i="342"/>
  <c r="AF78" i="342" s="1"/>
  <c r="R7" i="342"/>
  <c r="R78" i="342" s="1"/>
  <c r="R6" i="342"/>
  <c r="F6" i="342"/>
  <c r="V6" i="342"/>
  <c r="G7" i="342"/>
  <c r="G78" i="342" s="1"/>
  <c r="W7" i="342"/>
  <c r="W78" i="342" s="1"/>
  <c r="Q6" i="342"/>
  <c r="D7" i="342"/>
  <c r="D78" i="342" s="1"/>
  <c r="T6" i="342"/>
  <c r="G6" i="342"/>
  <c r="W6" i="342"/>
  <c r="H7" i="342"/>
  <c r="H78" i="342" s="1"/>
  <c r="X7" i="342"/>
  <c r="X78" i="342" s="1"/>
  <c r="AG6" i="342"/>
  <c r="S7" i="342"/>
  <c r="S78" i="342" s="1"/>
  <c r="U6" i="342"/>
  <c r="C7" i="342"/>
  <c r="C78" i="342" s="1"/>
  <c r="S6" i="342"/>
  <c r="D6" i="342"/>
  <c r="Y6" i="342"/>
  <c r="I6" i="342"/>
  <c r="Z7" i="342"/>
  <c r="Z78" i="342" s="1"/>
  <c r="J6" i="342"/>
  <c r="Z6" i="342"/>
  <c r="AA7" i="342"/>
  <c r="AA78" i="342" s="1"/>
  <c r="C6" i="342"/>
  <c r="T7" i="342"/>
  <c r="T78" i="342" s="1"/>
  <c r="E7" i="342"/>
  <c r="E78" i="342" s="1"/>
  <c r="U7" i="342"/>
  <c r="U78" i="342" s="1"/>
  <c r="E6" i="342"/>
  <c r="F7" i="342"/>
  <c r="F78" i="342" s="1"/>
  <c r="V7" i="342"/>
  <c r="V78" i="342" s="1"/>
  <c r="H6" i="342"/>
  <c r="X6" i="342"/>
  <c r="I7" i="342"/>
  <c r="I78" i="342" s="1"/>
  <c r="Y7" i="342"/>
  <c r="Y78" i="342" s="1"/>
  <c r="J7" i="342"/>
  <c r="J78" i="342" s="1"/>
  <c r="K7" i="342"/>
  <c r="K78" i="342" s="1"/>
  <c r="K6" i="342"/>
  <c r="AA6" i="342"/>
  <c r="L7" i="342"/>
  <c r="L78" i="342" s="1"/>
  <c r="AJ50" i="330"/>
  <c r="B8" i="1"/>
  <c r="S9" i="1" a="1"/>
  <c r="S9" i="1" s="1"/>
  <c r="U8" i="346" l="1"/>
  <c r="AD8" i="346"/>
  <c r="L8" i="347"/>
  <c r="AC8" i="348"/>
  <c r="O8" i="346"/>
  <c r="L8" i="346"/>
  <c r="AE8" i="346"/>
  <c r="L8" i="351"/>
  <c r="N8" i="346"/>
  <c r="AF8" i="346"/>
  <c r="AC8" i="346"/>
  <c r="C9" i="343"/>
  <c r="V8" i="348"/>
  <c r="J8" i="346"/>
  <c r="AB8" i="346"/>
  <c r="P8" i="346"/>
  <c r="S8" i="348"/>
  <c r="U8" i="344"/>
  <c r="O8" i="344"/>
  <c r="H8" i="346"/>
  <c r="S8" i="350"/>
  <c r="AE8" i="347"/>
  <c r="U8" i="352"/>
  <c r="M8" i="346"/>
  <c r="S8" i="352"/>
  <c r="N8" i="351"/>
  <c r="AF8" i="342"/>
  <c r="Z8" i="349"/>
  <c r="K8" i="344"/>
  <c r="C8" i="347"/>
  <c r="M8" i="351"/>
  <c r="L8" i="344"/>
  <c r="T8" i="352"/>
  <c r="R8" i="344"/>
  <c r="J8" i="351"/>
  <c r="N8" i="344"/>
  <c r="AA8" i="346"/>
  <c r="AG8" i="344"/>
  <c r="S8" i="344"/>
  <c r="E8" i="346"/>
  <c r="J8" i="345"/>
  <c r="O8" i="347"/>
  <c r="R8" i="350"/>
  <c r="AB8" i="349"/>
  <c r="F8" i="345"/>
  <c r="G8" i="348"/>
  <c r="AD8" i="349"/>
  <c r="D8" i="348"/>
  <c r="W8" i="351"/>
  <c r="V8" i="344"/>
  <c r="L8" i="352"/>
  <c r="AE8" i="351"/>
  <c r="W8" i="352"/>
  <c r="AI50" i="344"/>
  <c r="D8" i="351"/>
  <c r="G8" i="349"/>
  <c r="M8" i="352"/>
  <c r="G8" i="344"/>
  <c r="H8" i="345"/>
  <c r="AO10" i="344"/>
  <c r="AP10" i="344" s="1"/>
  <c r="AE8" i="352"/>
  <c r="X8" i="345"/>
  <c r="D8" i="352"/>
  <c r="R8" i="345"/>
  <c r="F8" i="352"/>
  <c r="Z8" i="352"/>
  <c r="R8" i="343"/>
  <c r="F8" i="344"/>
  <c r="R8" i="348"/>
  <c r="AE8" i="343"/>
  <c r="AI50" i="343"/>
  <c r="M8" i="343"/>
  <c r="Y8" i="349"/>
  <c r="J8" i="348"/>
  <c r="L8" i="348"/>
  <c r="W8" i="344"/>
  <c r="D8" i="345"/>
  <c r="AA8" i="345"/>
  <c r="C8" i="345"/>
  <c r="AF8" i="343"/>
  <c r="L8" i="345"/>
  <c r="AI50" i="351"/>
  <c r="AD8" i="347"/>
  <c r="N8" i="345"/>
  <c r="AC8" i="349"/>
  <c r="Z8" i="348"/>
  <c r="M8" i="345"/>
  <c r="Z8" i="351"/>
  <c r="F8" i="349"/>
  <c r="P8" i="347"/>
  <c r="Q8" i="350"/>
  <c r="P8" i="345"/>
  <c r="R8" i="352"/>
  <c r="AE8" i="345"/>
  <c r="R8" i="347"/>
  <c r="T8" i="351"/>
  <c r="T8" i="346"/>
  <c r="N8" i="352"/>
  <c r="H8" i="352"/>
  <c r="X8" i="347"/>
  <c r="J8" i="347"/>
  <c r="V8" i="347"/>
  <c r="C8" i="348"/>
  <c r="AB8" i="348"/>
  <c r="S8" i="345"/>
  <c r="N8" i="343"/>
  <c r="AO10" i="351"/>
  <c r="AP10" i="351" s="1"/>
  <c r="Y8" i="352"/>
  <c r="E8" i="349"/>
  <c r="F8" i="348"/>
  <c r="W8" i="349"/>
  <c r="P8" i="344"/>
  <c r="N8" i="349"/>
  <c r="AI50" i="352"/>
  <c r="Y8" i="345"/>
  <c r="AO17" i="345"/>
  <c r="AP17" i="345" s="1"/>
  <c r="X8" i="349"/>
  <c r="G8" i="352"/>
  <c r="V8" i="343"/>
  <c r="AA8" i="352"/>
  <c r="AC8" i="351"/>
  <c r="AE8" i="349"/>
  <c r="D8" i="346"/>
  <c r="X8" i="352"/>
  <c r="AG8" i="346"/>
  <c r="K8" i="347"/>
  <c r="Z8" i="347"/>
  <c r="W8" i="348"/>
  <c r="I8" i="345"/>
  <c r="M8" i="349"/>
  <c r="H8" i="348"/>
  <c r="AF8" i="345"/>
  <c r="H8" i="349"/>
  <c r="O8" i="348"/>
  <c r="W8" i="346"/>
  <c r="AG8" i="347"/>
  <c r="Q8" i="343"/>
  <c r="G8" i="346"/>
  <c r="G8" i="351"/>
  <c r="E8" i="352"/>
  <c r="AA8" i="348"/>
  <c r="AI50" i="350"/>
  <c r="M8" i="348"/>
  <c r="K8" i="352"/>
  <c r="Q8" i="345"/>
  <c r="AF8" i="348"/>
  <c r="Q8" i="344"/>
  <c r="AD8" i="351"/>
  <c r="E8" i="351"/>
  <c r="C8" i="349"/>
  <c r="I8" i="349"/>
  <c r="P8" i="352"/>
  <c r="Q8" i="346"/>
  <c r="AC8" i="347"/>
  <c r="J8" i="344"/>
  <c r="AB8" i="345"/>
  <c r="AG8" i="352"/>
  <c r="F8" i="351"/>
  <c r="R8" i="351"/>
  <c r="AE8" i="348"/>
  <c r="V8" i="352"/>
  <c r="T8" i="344"/>
  <c r="AG8" i="350"/>
  <c r="S8" i="351"/>
  <c r="O8" i="345"/>
  <c r="S8" i="346"/>
  <c r="I8" i="348"/>
  <c r="C8" i="346"/>
  <c r="K8" i="351"/>
  <c r="U8" i="351"/>
  <c r="AI50" i="349"/>
  <c r="U8" i="349"/>
  <c r="AA8" i="349"/>
  <c r="Q8" i="352"/>
  <c r="AI50" i="348"/>
  <c r="E8" i="348"/>
  <c r="N8" i="348"/>
  <c r="Z8" i="344"/>
  <c r="AF8" i="347"/>
  <c r="T8" i="345"/>
  <c r="V8" i="351"/>
  <c r="J8" i="352"/>
  <c r="AC8" i="345"/>
  <c r="C8" i="351"/>
  <c r="G8" i="345"/>
  <c r="T8" i="347"/>
  <c r="Z8" i="345"/>
  <c r="AA8" i="351"/>
  <c r="AB8" i="351"/>
  <c r="C8" i="352"/>
  <c r="O8" i="352"/>
  <c r="I8" i="352"/>
  <c r="M8" i="347"/>
  <c r="N8" i="347"/>
  <c r="Y8" i="348"/>
  <c r="AD8" i="348"/>
  <c r="E8" i="345"/>
  <c r="K8" i="345"/>
  <c r="Y8" i="342"/>
  <c r="AE8" i="342"/>
  <c r="C8" i="342"/>
  <c r="O8" i="342"/>
  <c r="F8" i="342"/>
  <c r="AA8" i="342"/>
  <c r="D8" i="342"/>
  <c r="K8" i="342"/>
  <c r="W8" i="342"/>
  <c r="AI50" i="342"/>
  <c r="Z8" i="342"/>
  <c r="G8" i="342"/>
  <c r="V8" i="342"/>
  <c r="R8" i="342"/>
  <c r="J8" i="342"/>
  <c r="T8" i="342"/>
  <c r="AD8" i="342"/>
  <c r="X8" i="342"/>
  <c r="E8" i="342"/>
  <c r="N8" i="342"/>
  <c r="H8" i="342"/>
  <c r="S8" i="342"/>
  <c r="U8" i="342"/>
  <c r="AG8" i="342"/>
  <c r="I8" i="342"/>
  <c r="Q8" i="342"/>
  <c r="S56" i="1"/>
  <c r="S40" i="1"/>
  <c r="S55" i="1"/>
  <c r="S23" i="1"/>
  <c r="S54" i="1"/>
  <c r="S22" i="1"/>
  <c r="S53" i="1"/>
  <c r="S21" i="1"/>
  <c r="S84" i="1"/>
  <c r="S52" i="1"/>
  <c r="S20" i="1"/>
  <c r="S83" i="1"/>
  <c r="S67" i="1"/>
  <c r="S35" i="1"/>
  <c r="S66" i="1"/>
  <c r="S34" i="1"/>
  <c r="S65" i="1"/>
  <c r="S33" i="1"/>
  <c r="S17" i="1"/>
  <c r="S80" i="1"/>
  <c r="S48" i="1"/>
  <c r="S16" i="1"/>
  <c r="S79" i="1"/>
  <c r="S47" i="1"/>
  <c r="S62" i="1"/>
  <c r="S30" i="1"/>
  <c r="S45" i="1"/>
  <c r="S13" i="1"/>
  <c r="S44" i="1"/>
  <c r="S12" i="1"/>
  <c r="S59" i="1"/>
  <c r="S74" i="1"/>
  <c r="S42" i="1"/>
  <c r="S26" i="1"/>
  <c r="S10" i="1"/>
  <c r="S72" i="1"/>
  <c r="S24" i="1"/>
  <c r="S71" i="1"/>
  <c r="S39" i="1"/>
  <c r="S70" i="1"/>
  <c r="S38" i="1"/>
  <c r="S69" i="1"/>
  <c r="S37" i="1"/>
  <c r="S68" i="1"/>
  <c r="S36" i="1"/>
  <c r="S51" i="1"/>
  <c r="S19" i="1"/>
  <c r="S82" i="1"/>
  <c r="S50" i="1"/>
  <c r="S18" i="1"/>
  <c r="S81" i="1"/>
  <c r="S49" i="1"/>
  <c r="S64" i="1"/>
  <c r="S32" i="1"/>
  <c r="S63" i="1"/>
  <c r="S31" i="1"/>
  <c r="S15" i="1"/>
  <c r="S78" i="1"/>
  <c r="S46" i="1"/>
  <c r="S14" i="1"/>
  <c r="S77" i="1"/>
  <c r="S61" i="1"/>
  <c r="S29" i="1"/>
  <c r="S76" i="1"/>
  <c r="S60" i="1"/>
  <c r="S28" i="1"/>
  <c r="S75" i="1"/>
  <c r="S43" i="1"/>
  <c r="S27" i="1"/>
  <c r="S11" i="1"/>
  <c r="S58" i="1"/>
  <c r="S73" i="1"/>
  <c r="S57" i="1"/>
  <c r="S41" i="1"/>
  <c r="S25" i="1"/>
  <c r="C94" i="330" l="1"/>
  <c r="I7" i="1"/>
  <c r="AG88" i="330"/>
  <c r="AF88" i="330"/>
  <c r="AE88" i="330"/>
  <c r="AD88" i="330"/>
  <c r="AC88" i="330"/>
  <c r="AB88" i="330"/>
  <c r="AA88" i="330"/>
  <c r="Z88" i="330"/>
  <c r="Y88" i="330"/>
  <c r="X88" i="330"/>
  <c r="W88" i="330"/>
  <c r="V88" i="330"/>
  <c r="U88" i="330"/>
  <c r="T88" i="330"/>
  <c r="S88" i="330"/>
  <c r="R88" i="330"/>
  <c r="Q88" i="330"/>
  <c r="P88" i="330"/>
  <c r="O88" i="330"/>
  <c r="N88" i="330"/>
  <c r="M88" i="330"/>
  <c r="L88" i="330"/>
  <c r="K88" i="330"/>
  <c r="J88" i="330"/>
  <c r="I88" i="330"/>
  <c r="H88" i="330"/>
  <c r="G88" i="330"/>
  <c r="F88" i="330"/>
  <c r="E88" i="330"/>
  <c r="D88" i="330"/>
  <c r="C88" i="330"/>
  <c r="B88" i="330"/>
  <c r="AG87" i="330"/>
  <c r="AF87" i="330"/>
  <c r="AE87" i="330"/>
  <c r="AD87" i="330"/>
  <c r="AC87" i="330"/>
  <c r="AB87" i="330"/>
  <c r="AA87" i="330"/>
  <c r="Z87" i="330"/>
  <c r="Y87" i="330"/>
  <c r="X87" i="330"/>
  <c r="W87" i="330"/>
  <c r="V87" i="330"/>
  <c r="U87" i="330"/>
  <c r="T87" i="330"/>
  <c r="S87" i="330"/>
  <c r="R87" i="330"/>
  <c r="Q87" i="330"/>
  <c r="P87" i="330"/>
  <c r="O87" i="330"/>
  <c r="N87" i="330"/>
  <c r="M87" i="330"/>
  <c r="L87" i="330"/>
  <c r="K87" i="330"/>
  <c r="J87" i="330"/>
  <c r="I87" i="330"/>
  <c r="H87" i="330"/>
  <c r="G87" i="330"/>
  <c r="F87" i="330"/>
  <c r="E87" i="330"/>
  <c r="D87" i="330"/>
  <c r="C87" i="330"/>
  <c r="B87" i="330"/>
  <c r="AG86" i="330"/>
  <c r="AF86" i="330"/>
  <c r="AE86" i="330"/>
  <c r="AD86" i="330"/>
  <c r="AC86" i="330"/>
  <c r="AB86" i="330"/>
  <c r="AA86" i="330"/>
  <c r="Z86" i="330"/>
  <c r="Y86" i="330"/>
  <c r="X86" i="330"/>
  <c r="W86" i="330"/>
  <c r="V86" i="330"/>
  <c r="U86" i="330"/>
  <c r="T86" i="330"/>
  <c r="S86" i="330"/>
  <c r="R86" i="330"/>
  <c r="Q86" i="330"/>
  <c r="P86" i="330"/>
  <c r="O86" i="330"/>
  <c r="N86" i="330"/>
  <c r="M86" i="330"/>
  <c r="L86" i="330"/>
  <c r="K86" i="330"/>
  <c r="J86" i="330"/>
  <c r="I86" i="330"/>
  <c r="H86" i="330"/>
  <c r="G86" i="330"/>
  <c r="F86" i="330"/>
  <c r="E86" i="330"/>
  <c r="D86" i="330"/>
  <c r="C86" i="330"/>
  <c r="B86" i="330"/>
  <c r="AG85" i="330"/>
  <c r="AF85" i="330"/>
  <c r="AE85" i="330"/>
  <c r="AD85" i="330"/>
  <c r="AC85" i="330"/>
  <c r="AB85" i="330"/>
  <c r="AA85" i="330"/>
  <c r="Z85" i="330"/>
  <c r="Y85" i="330"/>
  <c r="X85" i="330"/>
  <c r="W85" i="330"/>
  <c r="V85" i="330"/>
  <c r="U85" i="330"/>
  <c r="T85" i="330"/>
  <c r="S85" i="330"/>
  <c r="R85" i="330"/>
  <c r="Q85" i="330"/>
  <c r="P85" i="330"/>
  <c r="O85" i="330"/>
  <c r="N85" i="330"/>
  <c r="M85" i="330"/>
  <c r="L85" i="330"/>
  <c r="K85" i="330"/>
  <c r="J85" i="330"/>
  <c r="I85" i="330"/>
  <c r="H85" i="330"/>
  <c r="G85" i="330"/>
  <c r="F85" i="330"/>
  <c r="E85" i="330"/>
  <c r="D85" i="330"/>
  <c r="C85" i="330"/>
  <c r="B85" i="330"/>
  <c r="AG84" i="330"/>
  <c r="AF84" i="330"/>
  <c r="AE84" i="330"/>
  <c r="AD84" i="330"/>
  <c r="AC84" i="330"/>
  <c r="AB84" i="330"/>
  <c r="AA84" i="330"/>
  <c r="Z84" i="330"/>
  <c r="Y84" i="330"/>
  <c r="X84" i="330"/>
  <c r="W84" i="330"/>
  <c r="V84" i="330"/>
  <c r="U84" i="330"/>
  <c r="T84" i="330"/>
  <c r="S84" i="330"/>
  <c r="R84" i="330"/>
  <c r="Q84" i="330"/>
  <c r="P84" i="330"/>
  <c r="O84" i="330"/>
  <c r="N84" i="330"/>
  <c r="M84" i="330"/>
  <c r="L84" i="330"/>
  <c r="K84" i="330"/>
  <c r="J84" i="330"/>
  <c r="I84" i="330"/>
  <c r="H84" i="330"/>
  <c r="G84" i="330"/>
  <c r="F84" i="330"/>
  <c r="E84" i="330"/>
  <c r="D84" i="330"/>
  <c r="C84" i="330"/>
  <c r="B84" i="330"/>
  <c r="AG83" i="330"/>
  <c r="AF83" i="330"/>
  <c r="AE83" i="330"/>
  <c r="AD83" i="330"/>
  <c r="AC83" i="330"/>
  <c r="AB83" i="330"/>
  <c r="AA83" i="330"/>
  <c r="Z83" i="330"/>
  <c r="Y83" i="330"/>
  <c r="X83" i="330"/>
  <c r="W83" i="330"/>
  <c r="V83" i="330"/>
  <c r="U83" i="330"/>
  <c r="T83" i="330"/>
  <c r="S83" i="330"/>
  <c r="R83" i="330"/>
  <c r="Q83" i="330"/>
  <c r="P83" i="330"/>
  <c r="O83" i="330"/>
  <c r="N83" i="330"/>
  <c r="M83" i="330"/>
  <c r="L83" i="330"/>
  <c r="K83" i="330"/>
  <c r="J83" i="330"/>
  <c r="I83" i="330"/>
  <c r="H83" i="330"/>
  <c r="G83" i="330"/>
  <c r="F83" i="330"/>
  <c r="E83" i="330"/>
  <c r="D83" i="330"/>
  <c r="C83" i="330"/>
  <c r="B83" i="330"/>
  <c r="AG82" i="330"/>
  <c r="AF82" i="330"/>
  <c r="AE82" i="330"/>
  <c r="AD82" i="330"/>
  <c r="AC82" i="330"/>
  <c r="AB82" i="330"/>
  <c r="AA82" i="330"/>
  <c r="Z82" i="330"/>
  <c r="Y82" i="330"/>
  <c r="X82" i="330"/>
  <c r="W82" i="330"/>
  <c r="V82" i="330"/>
  <c r="U82" i="330"/>
  <c r="T82" i="330"/>
  <c r="S82" i="330"/>
  <c r="R82" i="330"/>
  <c r="Q82" i="330"/>
  <c r="P82" i="330"/>
  <c r="O82" i="330"/>
  <c r="N82" i="330"/>
  <c r="M82" i="330"/>
  <c r="L82" i="330"/>
  <c r="K82" i="330"/>
  <c r="J82" i="330"/>
  <c r="I82" i="330"/>
  <c r="H82" i="330"/>
  <c r="G82" i="330"/>
  <c r="F82" i="330"/>
  <c r="E82" i="330"/>
  <c r="D82" i="330"/>
  <c r="C82" i="330"/>
  <c r="B82" i="330"/>
  <c r="AG81" i="330"/>
  <c r="AF81" i="330"/>
  <c r="AE81" i="330"/>
  <c r="AD81" i="330"/>
  <c r="AC81" i="330"/>
  <c r="AB81" i="330"/>
  <c r="AA81" i="330"/>
  <c r="Z81" i="330"/>
  <c r="Y81" i="330"/>
  <c r="X81" i="330"/>
  <c r="W81" i="330"/>
  <c r="V81" i="330"/>
  <c r="U81" i="330"/>
  <c r="T81" i="330"/>
  <c r="S81" i="330"/>
  <c r="R81" i="330"/>
  <c r="Q81" i="330"/>
  <c r="P81" i="330"/>
  <c r="O81" i="330"/>
  <c r="N81" i="330"/>
  <c r="M81" i="330"/>
  <c r="L81" i="330"/>
  <c r="K81" i="330"/>
  <c r="J81" i="330"/>
  <c r="I81" i="330"/>
  <c r="H81" i="330"/>
  <c r="G81" i="330"/>
  <c r="F81" i="330"/>
  <c r="E81" i="330"/>
  <c r="D81" i="330"/>
  <c r="C81" i="330"/>
  <c r="B81" i="330"/>
  <c r="AG80" i="330"/>
  <c r="AF80" i="330"/>
  <c r="AE80" i="330"/>
  <c r="AD80" i="330"/>
  <c r="AC80" i="330"/>
  <c r="AB80" i="330"/>
  <c r="AA80" i="330"/>
  <c r="Z80" i="330"/>
  <c r="Y80" i="330"/>
  <c r="X80" i="330"/>
  <c r="W80" i="330"/>
  <c r="V80" i="330"/>
  <c r="U80" i="330"/>
  <c r="T80" i="330"/>
  <c r="S80" i="330"/>
  <c r="R80" i="330"/>
  <c r="Q80" i="330"/>
  <c r="P80" i="330"/>
  <c r="O80" i="330"/>
  <c r="N80" i="330"/>
  <c r="M80" i="330"/>
  <c r="L80" i="330"/>
  <c r="K80" i="330"/>
  <c r="J80" i="330"/>
  <c r="I80" i="330"/>
  <c r="H80" i="330"/>
  <c r="G80" i="330"/>
  <c r="F80" i="330"/>
  <c r="E80" i="330"/>
  <c r="D80" i="330"/>
  <c r="C80" i="330"/>
  <c r="B80" i="330"/>
  <c r="AG79" i="330"/>
  <c r="AF79" i="330"/>
  <c r="AE79" i="330"/>
  <c r="AD79" i="330"/>
  <c r="AC79" i="330"/>
  <c r="AB79" i="330"/>
  <c r="AA79" i="330"/>
  <c r="Z79" i="330"/>
  <c r="Y79" i="330"/>
  <c r="X79" i="330"/>
  <c r="W79" i="330"/>
  <c r="V79" i="330"/>
  <c r="U79" i="330"/>
  <c r="T79" i="330"/>
  <c r="S79" i="330"/>
  <c r="R79" i="330"/>
  <c r="Q79" i="330"/>
  <c r="P79" i="330"/>
  <c r="O79" i="330"/>
  <c r="N79" i="330"/>
  <c r="M79" i="330"/>
  <c r="L79" i="330"/>
  <c r="K79" i="330"/>
  <c r="J79" i="330"/>
  <c r="I79" i="330"/>
  <c r="H79" i="330"/>
  <c r="G79" i="330"/>
  <c r="F79" i="330"/>
  <c r="E79" i="330"/>
  <c r="D79" i="330"/>
  <c r="C79" i="330"/>
  <c r="B79" i="330"/>
  <c r="AB58" i="330"/>
  <c r="AH49" i="330" a="1"/>
  <c r="AH49" i="330" s="1"/>
  <c r="AI49" i="330" s="1"/>
  <c r="A49" i="330"/>
  <c r="AH48" i="330" a="1"/>
  <c r="AH48" i="330" s="1"/>
  <c r="AI48" i="330" s="1"/>
  <c r="A48" i="330"/>
  <c r="AH47" i="330" a="1"/>
  <c r="AH47" i="330" s="1"/>
  <c r="AI47" i="330" s="1"/>
  <c r="A47" i="330"/>
  <c r="AH46" i="330" a="1"/>
  <c r="AH46" i="330" s="1"/>
  <c r="AI46" i="330" s="1"/>
  <c r="A46" i="330"/>
  <c r="AH45" i="330" a="1"/>
  <c r="AH45" i="330" s="1"/>
  <c r="AI45" i="330" s="1"/>
  <c r="A45" i="330"/>
  <c r="AH44" i="330" a="1"/>
  <c r="AH44" i="330" s="1"/>
  <c r="AI44" i="330" s="1"/>
  <c r="A44" i="330"/>
  <c r="AH43" i="330" a="1"/>
  <c r="AH43" i="330" s="1"/>
  <c r="AI43" i="330" s="1"/>
  <c r="A43" i="330"/>
  <c r="AH42" i="330" a="1"/>
  <c r="AH42" i="330" s="1"/>
  <c r="AI42" i="330" s="1"/>
  <c r="A42" i="330"/>
  <c r="AH41" i="330" a="1"/>
  <c r="AH41" i="330" s="1"/>
  <c r="AI41" i="330" s="1"/>
  <c r="A41" i="330"/>
  <c r="AH40" i="330" a="1"/>
  <c r="AH40" i="330" s="1"/>
  <c r="AI40" i="330" s="1"/>
  <c r="A40" i="330"/>
  <c r="AH39" i="330" a="1"/>
  <c r="AH39" i="330" s="1"/>
  <c r="AI39" i="330" s="1"/>
  <c r="A39" i="330"/>
  <c r="AH38" i="330" a="1"/>
  <c r="AH38" i="330" s="1"/>
  <c r="AI38" i="330" s="1"/>
  <c r="A38" i="330"/>
  <c r="AH37" i="330" a="1"/>
  <c r="AH37" i="330" s="1"/>
  <c r="AI37" i="330" s="1"/>
  <c r="A37" i="330"/>
  <c r="AH36" i="330" a="1"/>
  <c r="AH36" i="330" s="1"/>
  <c r="AI36" i="330" s="1"/>
  <c r="A36" i="330"/>
  <c r="AH35" i="330" a="1"/>
  <c r="AH35" i="330" s="1"/>
  <c r="AI35" i="330" s="1"/>
  <c r="A35" i="330"/>
  <c r="AH34" i="330" a="1"/>
  <c r="AH34" i="330" s="1"/>
  <c r="AI34" i="330" s="1"/>
  <c r="A34" i="330"/>
  <c r="AH33" i="330" a="1"/>
  <c r="AH33" i="330" s="1"/>
  <c r="AI33" i="330" s="1"/>
  <c r="A33" i="330"/>
  <c r="AH32" i="330" a="1"/>
  <c r="AH32" i="330" s="1"/>
  <c r="AI32" i="330" s="1"/>
  <c r="A32" i="330"/>
  <c r="AH31" i="330" a="1"/>
  <c r="AH31" i="330" s="1"/>
  <c r="AI31" i="330" s="1"/>
  <c r="A31" i="330"/>
  <c r="AH30" i="330" a="1"/>
  <c r="AH30" i="330" s="1"/>
  <c r="AI30" i="330" s="1"/>
  <c r="A30" i="330"/>
  <c r="AH29" i="330" a="1"/>
  <c r="AH29" i="330" s="1"/>
  <c r="AI29" i="330" s="1"/>
  <c r="A29" i="330"/>
  <c r="AH28" i="330" a="1"/>
  <c r="AH28" i="330" s="1"/>
  <c r="A28" i="330"/>
  <c r="AH27" i="330" a="1"/>
  <c r="AH27" i="330" s="1"/>
  <c r="AI27" i="330" s="1"/>
  <c r="A27" i="330"/>
  <c r="AK26" i="330"/>
  <c r="AH26" i="330" a="1"/>
  <c r="AH26" i="330" s="1"/>
  <c r="AI26" i="330" s="1"/>
  <c r="A26" i="330"/>
  <c r="AH25" i="330" a="1"/>
  <c r="AH25" i="330" s="1"/>
  <c r="AI25" i="330" s="1"/>
  <c r="A25" i="330"/>
  <c r="AK24" i="330"/>
  <c r="AH24" i="330" a="1"/>
  <c r="AH24" i="330" s="1"/>
  <c r="AI24" i="330" s="1"/>
  <c r="A24" i="330"/>
  <c r="AK23" i="330"/>
  <c r="AH23" i="330" a="1"/>
  <c r="AH23" i="330" s="1"/>
  <c r="AI23" i="330" s="1"/>
  <c r="A23" i="330"/>
  <c r="AK22" i="330"/>
  <c r="AH22" i="330" a="1"/>
  <c r="AH22" i="330" s="1"/>
  <c r="AI22" i="330" s="1"/>
  <c r="A22" i="330"/>
  <c r="AK21" i="330"/>
  <c r="AH21" i="330" a="1"/>
  <c r="AH21" i="330" s="1"/>
  <c r="AI21" i="330" s="1"/>
  <c r="A21" i="330"/>
  <c r="AK20" i="330"/>
  <c r="AH20" i="330" a="1"/>
  <c r="AH20" i="330" s="1"/>
  <c r="AI20" i="330" s="1"/>
  <c r="A20" i="330"/>
  <c r="AK19" i="330"/>
  <c r="AH19" i="330" a="1"/>
  <c r="AH19" i="330" s="1"/>
  <c r="AI19" i="330" s="1"/>
  <c r="A19" i="330"/>
  <c r="AK18" i="330"/>
  <c r="AH18" i="330" a="1"/>
  <c r="AH18" i="330" s="1"/>
  <c r="AI18" i="330" s="1"/>
  <c r="A18" i="330"/>
  <c r="AK17" i="330"/>
  <c r="AH17" i="330" a="1"/>
  <c r="AH17" i="330" s="1"/>
  <c r="AI17" i="330" s="1"/>
  <c r="A17" i="330"/>
  <c r="AK16" i="330"/>
  <c r="AH16" i="330" a="1"/>
  <c r="AH16" i="330" s="1"/>
  <c r="AI16" i="330" s="1"/>
  <c r="A16" i="330"/>
  <c r="AK15" i="330"/>
  <c r="AH15" i="330" a="1"/>
  <c r="AH15" i="330" s="1"/>
  <c r="AI15" i="330" s="1"/>
  <c r="A15" i="330"/>
  <c r="AK14" i="330"/>
  <c r="AH14" i="330" a="1"/>
  <c r="AH14" i="330" s="1"/>
  <c r="AI14" i="330" s="1"/>
  <c r="A14" i="330"/>
  <c r="AK13" i="330"/>
  <c r="AH13" i="330" a="1"/>
  <c r="AH13" i="330" s="1"/>
  <c r="AI13" i="330" s="1"/>
  <c r="A13" i="330"/>
  <c r="AK12" i="330"/>
  <c r="AH12" i="330" a="1"/>
  <c r="AH12" i="330" s="1"/>
  <c r="AI12" i="330" s="1"/>
  <c r="A12" i="330"/>
  <c r="AK11" i="330"/>
  <c r="AH11" i="330" a="1"/>
  <c r="AH11" i="330" s="1"/>
  <c r="AI11" i="330" s="1"/>
  <c r="A11" i="330"/>
  <c r="AH10" i="330" a="1"/>
  <c r="AH10" i="330" s="1"/>
  <c r="AI10" i="330" s="1"/>
  <c r="A10" i="330"/>
  <c r="C4" i="330"/>
  <c r="L3" i="330"/>
  <c r="P7" i="330" s="1"/>
  <c r="P78" i="330" s="1"/>
  <c r="K1" i="330"/>
  <c r="AI28" i="330" l="1"/>
  <c r="AO19" i="330"/>
  <c r="AP19" i="330" s="1"/>
  <c r="AO17" i="330"/>
  <c r="AP17" i="330" s="1"/>
  <c r="AO22" i="330"/>
  <c r="AP22" i="330" s="1"/>
  <c r="AO14" i="330"/>
  <c r="AP14" i="330" s="1"/>
  <c r="AO16" i="330"/>
  <c r="AP16" i="330" s="1"/>
  <c r="AO18" i="330"/>
  <c r="AP18" i="330" s="1"/>
  <c r="AO24" i="330"/>
  <c r="AP24" i="330" s="1"/>
  <c r="AO20" i="330"/>
  <c r="AP20" i="330" s="1"/>
  <c r="AO15" i="330"/>
  <c r="AP15" i="330" s="1"/>
  <c r="AO26" i="330"/>
  <c r="AP26" i="330" s="1"/>
  <c r="AO23" i="330"/>
  <c r="AP23" i="330" s="1"/>
  <c r="AO11" i="330"/>
  <c r="AP11" i="330" s="1"/>
  <c r="AO12" i="330"/>
  <c r="AP12" i="330" s="1"/>
  <c r="AO13" i="330"/>
  <c r="AP13" i="330" s="1"/>
  <c r="AO10" i="330"/>
  <c r="AP10" i="330" s="1"/>
  <c r="AO21" i="330"/>
  <c r="AP21" i="330" s="1"/>
  <c r="X6" i="330"/>
  <c r="X8" i="330" s="1"/>
  <c r="G6" i="330"/>
  <c r="G8" i="330" s="1"/>
  <c r="W7" i="330"/>
  <c r="W78" i="330" s="1"/>
  <c r="AF7" i="330"/>
  <c r="AF78" i="330" s="1"/>
  <c r="T7" i="330"/>
  <c r="T78" i="330" s="1"/>
  <c r="V7" i="330"/>
  <c r="V78" i="330" s="1"/>
  <c r="R7" i="330"/>
  <c r="R78" i="330" s="1"/>
  <c r="H6" i="330"/>
  <c r="H8" i="330" s="1"/>
  <c r="R6" i="330"/>
  <c r="R8" i="330" s="1"/>
  <c r="S6" i="330"/>
  <c r="S8" i="330" s="1"/>
  <c r="U6" i="330"/>
  <c r="U8" i="330" s="1"/>
  <c r="V6" i="330"/>
  <c r="V8" i="330" s="1"/>
  <c r="Y7" i="330"/>
  <c r="Y78" i="330" s="1"/>
  <c r="W6" i="330"/>
  <c r="W8" i="330" s="1"/>
  <c r="Z7" i="330"/>
  <c r="Z78" i="330" s="1"/>
  <c r="I6" i="330"/>
  <c r="I8" i="330" s="1"/>
  <c r="S7" i="330"/>
  <c r="S78" i="330" s="1"/>
  <c r="G7" i="330"/>
  <c r="G78" i="330" s="1"/>
  <c r="AE6" i="330"/>
  <c r="AG6" i="330"/>
  <c r="C7" i="330"/>
  <c r="C78" i="330" s="1"/>
  <c r="F7" i="330"/>
  <c r="F78" i="330" s="1"/>
  <c r="C6" i="330"/>
  <c r="C8" i="330" s="1"/>
  <c r="H7" i="330"/>
  <c r="H78" i="330" s="1"/>
  <c r="E6" i="330"/>
  <c r="E8" i="330" s="1"/>
  <c r="AA7" i="330"/>
  <c r="AA78" i="330" s="1"/>
  <c r="K7" i="330"/>
  <c r="K78" i="330" s="1"/>
  <c r="Z6" i="330"/>
  <c r="J6" i="330"/>
  <c r="AB7" i="330"/>
  <c r="AB78" i="330" s="1"/>
  <c r="L7" i="330"/>
  <c r="L78" i="330" s="1"/>
  <c r="AA6" i="330"/>
  <c r="K6" i="330"/>
  <c r="U7" i="330"/>
  <c r="U78" i="330" s="1"/>
  <c r="E7" i="330"/>
  <c r="E78" i="330" s="1"/>
  <c r="T6" i="330"/>
  <c r="D6" i="330"/>
  <c r="AG7" i="330"/>
  <c r="AG78" i="330" s="1"/>
  <c r="Q7" i="330"/>
  <c r="Q78" i="330" s="1"/>
  <c r="AF6" i="330"/>
  <c r="P6" i="330"/>
  <c r="AE7" i="330"/>
  <c r="AE78" i="330" s="1"/>
  <c r="O7" i="330"/>
  <c r="O78" i="330" s="1"/>
  <c r="AD6" i="330"/>
  <c r="N6" i="330"/>
  <c r="AD7" i="330"/>
  <c r="AD78" i="330" s="1"/>
  <c r="N7" i="330"/>
  <c r="N78" i="330" s="1"/>
  <c r="AC6" i="330"/>
  <c r="M6" i="330"/>
  <c r="AC7" i="330"/>
  <c r="AC78" i="330" s="1"/>
  <c r="M7" i="330"/>
  <c r="M78" i="330" s="1"/>
  <c r="AB6" i="330"/>
  <c r="L6" i="330"/>
  <c r="Y6" i="330"/>
  <c r="X7" i="330"/>
  <c r="X78" i="330" s="1"/>
  <c r="F6" i="330"/>
  <c r="D7" i="330"/>
  <c r="D78" i="330" s="1"/>
  <c r="AK50" i="330"/>
  <c r="O6" i="330"/>
  <c r="I7" i="330"/>
  <c r="I78" i="330" s="1"/>
  <c r="Q6" i="330"/>
  <c r="J7" i="330"/>
  <c r="J78" i="330" s="1"/>
  <c r="AH50" i="330"/>
  <c r="AE8" i="330" l="1"/>
  <c r="AG8" i="330"/>
  <c r="P8" i="330"/>
  <c r="AF8" i="330"/>
  <c r="Y8" i="330"/>
  <c r="Q8" i="330"/>
  <c r="L8" i="330"/>
  <c r="D8" i="330"/>
  <c r="AB8" i="330"/>
  <c r="T8" i="330"/>
  <c r="O8" i="330"/>
  <c r="M8" i="330"/>
  <c r="K8" i="330"/>
  <c r="AC8" i="330"/>
  <c r="AA8" i="330"/>
  <c r="F8" i="330"/>
  <c r="N8" i="330"/>
  <c r="J8" i="330"/>
  <c r="AD8" i="330"/>
  <c r="Z8" i="330"/>
  <c r="B22" i="1" l="1"/>
  <c r="B21" i="1"/>
  <c r="B20" i="1"/>
  <c r="B19" i="1"/>
  <c r="B18" i="1"/>
  <c r="B13" i="1"/>
  <c r="B11" i="1"/>
  <c r="B17" i="1" s="1"/>
  <c r="B9" i="1"/>
  <c r="E9" i="347" l="1"/>
  <c r="E9" i="350"/>
  <c r="N9" i="350"/>
  <c r="O9" i="349"/>
  <c r="D9" i="343"/>
  <c r="W9" i="345"/>
  <c r="L9" i="350"/>
  <c r="H9" i="343"/>
  <c r="K9" i="346"/>
  <c r="U9" i="352"/>
  <c r="P9" i="348"/>
  <c r="AA9" i="343"/>
  <c r="AC9" i="347"/>
  <c r="U9" i="351"/>
  <c r="AF9" i="347"/>
  <c r="AF9" i="342"/>
  <c r="N9" i="347"/>
  <c r="AC9" i="344"/>
  <c r="AC9" i="343"/>
  <c r="K9" i="343"/>
  <c r="AB9" i="350"/>
  <c r="D9" i="351"/>
  <c r="N9" i="342"/>
  <c r="C9" i="347"/>
  <c r="AE9" i="343"/>
  <c r="AA9" i="352"/>
  <c r="M9" i="350"/>
  <c r="AA9" i="344"/>
  <c r="Z9" i="351"/>
  <c r="F9" i="345"/>
  <c r="C9" i="348"/>
  <c r="V9" i="352"/>
  <c r="G9" i="342"/>
  <c r="AG9" i="343"/>
  <c r="AA9" i="346"/>
  <c r="F9" i="350"/>
  <c r="K9" i="347"/>
  <c r="C9" i="350"/>
  <c r="N9" i="351"/>
  <c r="Q9" i="347"/>
  <c r="Z9" i="343"/>
  <c r="R9" i="347"/>
  <c r="Q9" i="346"/>
  <c r="K9" i="342"/>
  <c r="AD9" i="342"/>
  <c r="K9" i="344"/>
  <c r="AE9" i="352"/>
  <c r="F9" i="348"/>
  <c r="Z9" i="342"/>
  <c r="W9" i="348"/>
  <c r="C9" i="342"/>
  <c r="R9" i="351"/>
  <c r="AE9" i="347"/>
  <c r="J9" i="347"/>
  <c r="AE9" i="351"/>
  <c r="Z9" i="347"/>
  <c r="M9" i="347"/>
  <c r="W9" i="349"/>
  <c r="T9" i="344"/>
  <c r="S9" i="344"/>
  <c r="N9" i="345"/>
  <c r="AA9" i="348"/>
  <c r="AC9" i="345"/>
  <c r="I9" i="342"/>
  <c r="AE9" i="342"/>
  <c r="AE9" i="346"/>
  <c r="AB9" i="349"/>
  <c r="B12" i="1"/>
  <c r="B14" i="1"/>
  <c r="B15" i="1"/>
  <c r="B10" i="1"/>
  <c r="U9" i="350" s="1"/>
  <c r="B16" i="1"/>
  <c r="AF9" i="348" s="1"/>
  <c r="K9" i="352" l="1"/>
  <c r="F9" i="347"/>
  <c r="V9" i="345"/>
  <c r="G9" i="345"/>
  <c r="K9" i="350"/>
  <c r="AD9" i="347"/>
  <c r="W9" i="342"/>
  <c r="AD9" i="348"/>
  <c r="P9" i="345"/>
  <c r="Q9" i="349"/>
  <c r="AC9" i="342"/>
  <c r="AC9" i="352"/>
  <c r="R9" i="343"/>
  <c r="AA9" i="347"/>
  <c r="AB9" i="345"/>
  <c r="O9" i="350"/>
  <c r="Z9" i="348"/>
  <c r="L9" i="342"/>
  <c r="X9" i="347"/>
  <c r="Z9" i="349"/>
  <c r="M9" i="352"/>
  <c r="AG9" i="344"/>
  <c r="J9" i="345"/>
  <c r="E9" i="352"/>
  <c r="N9" i="343"/>
  <c r="Q9" i="344"/>
  <c r="C9" i="352"/>
  <c r="AB9" i="347"/>
  <c r="D9" i="347"/>
  <c r="H9" i="350"/>
  <c r="X9" i="351"/>
  <c r="X9" i="352"/>
  <c r="J9" i="352"/>
  <c r="W9" i="351"/>
  <c r="S9" i="343"/>
  <c r="M9" i="351"/>
  <c r="P9" i="342"/>
  <c r="AF9" i="345"/>
  <c r="N9" i="352"/>
  <c r="D9" i="346"/>
  <c r="AA9" i="349"/>
  <c r="E9" i="345"/>
  <c r="Z9" i="346"/>
  <c r="F9" i="343"/>
  <c r="AB9" i="351"/>
  <c r="N9" i="348"/>
  <c r="S9" i="352"/>
  <c r="AF9" i="351"/>
  <c r="Y9" i="349"/>
  <c r="S9" i="345"/>
  <c r="S9" i="342"/>
  <c r="U9" i="342"/>
  <c r="AG9" i="351"/>
  <c r="H9" i="344"/>
  <c r="P9" i="352"/>
  <c r="T9" i="342"/>
  <c r="AG9" i="350"/>
  <c r="E9" i="342"/>
  <c r="H9" i="346"/>
  <c r="G9" i="343"/>
  <c r="F9" i="352"/>
  <c r="L9" i="345"/>
  <c r="F9" i="349"/>
  <c r="Y9" i="348"/>
  <c r="I9" i="350"/>
  <c r="L9" i="343"/>
  <c r="K9" i="348"/>
  <c r="V9" i="347"/>
  <c r="Y9" i="352"/>
  <c r="Z9" i="350"/>
  <c r="AF9" i="349"/>
  <c r="AE9" i="348"/>
  <c r="V9" i="342"/>
  <c r="T9" i="349"/>
  <c r="L9" i="349"/>
  <c r="G9" i="349"/>
  <c r="AD9" i="349"/>
  <c r="R9" i="345"/>
  <c r="Z9" i="345"/>
  <c r="AF9" i="350"/>
  <c r="X9" i="350"/>
  <c r="O9" i="345"/>
  <c r="W9" i="343"/>
  <c r="Q9" i="351"/>
  <c r="AG9" i="352"/>
  <c r="E9" i="344"/>
  <c r="N9" i="346"/>
  <c r="AG9" i="342"/>
  <c r="AA9" i="351"/>
  <c r="AD9" i="352"/>
  <c r="W9" i="347"/>
  <c r="AB9" i="348"/>
  <c r="U9" i="345"/>
  <c r="R9" i="349"/>
  <c r="D9" i="349"/>
  <c r="Y9" i="345"/>
  <c r="R9" i="342"/>
  <c r="T9" i="350"/>
  <c r="S9" i="347"/>
  <c r="Y9" i="350"/>
  <c r="AG9" i="345"/>
  <c r="O9" i="346"/>
  <c r="M9" i="346"/>
  <c r="G9" i="352"/>
  <c r="H9" i="349"/>
  <c r="Q9" i="345"/>
  <c r="L9" i="344"/>
  <c r="P9" i="350"/>
  <c r="AF9" i="352"/>
  <c r="D9" i="348"/>
  <c r="AG9" i="347"/>
  <c r="J9" i="342"/>
  <c r="P9" i="346"/>
  <c r="X9" i="342"/>
  <c r="AB9" i="344"/>
  <c r="I9" i="349"/>
  <c r="T9" i="345"/>
  <c r="V9" i="348"/>
  <c r="Q9" i="342"/>
  <c r="T9" i="351"/>
  <c r="AG9" i="349"/>
  <c r="J9" i="350"/>
  <c r="W9" i="350"/>
  <c r="AD9" i="344"/>
  <c r="H9" i="345"/>
  <c r="E9" i="346"/>
  <c r="T9" i="348"/>
  <c r="P9" i="349"/>
  <c r="W9" i="352"/>
  <c r="I9" i="352"/>
  <c r="C9" i="351"/>
  <c r="J9" i="348"/>
  <c r="AG9" i="346"/>
  <c r="L9" i="351"/>
  <c r="P9" i="343"/>
  <c r="O9" i="343"/>
  <c r="S9" i="350"/>
  <c r="J9" i="349"/>
  <c r="AA9" i="345"/>
  <c r="U9" i="349"/>
  <c r="I9" i="347"/>
  <c r="E9" i="349"/>
  <c r="I9" i="343"/>
  <c r="Q9" i="348"/>
  <c r="J9" i="344"/>
  <c r="Q9" i="343"/>
  <c r="E9" i="348"/>
  <c r="AF9" i="343"/>
  <c r="I9" i="351"/>
  <c r="AD9" i="350"/>
  <c r="AB9" i="343"/>
  <c r="D9" i="350"/>
  <c r="P9" i="344"/>
  <c r="G9" i="344"/>
  <c r="U9" i="347"/>
  <c r="L9" i="352"/>
  <c r="X9" i="343"/>
  <c r="N9" i="349"/>
  <c r="O9" i="342"/>
  <c r="I9" i="344"/>
  <c r="W9" i="344"/>
  <c r="I9" i="345"/>
  <c r="T9" i="352"/>
  <c r="X9" i="349"/>
  <c r="K9" i="351"/>
  <c r="Q9" i="352"/>
  <c r="T9" i="343"/>
  <c r="Y9" i="342"/>
  <c r="X9" i="348"/>
  <c r="R9" i="344"/>
  <c r="S9" i="351"/>
  <c r="U9" i="348"/>
  <c r="F9" i="346"/>
  <c r="AF9" i="346"/>
  <c r="R9" i="352"/>
  <c r="G9" i="346"/>
  <c r="C9" i="345"/>
  <c r="F9" i="344"/>
  <c r="M9" i="343"/>
  <c r="AD9" i="343"/>
  <c r="S9" i="349"/>
  <c r="C9" i="344"/>
  <c r="X9" i="346"/>
  <c r="S9" i="348"/>
  <c r="H9" i="351"/>
  <c r="U9" i="343"/>
  <c r="AE9" i="350"/>
  <c r="X9" i="344"/>
  <c r="V9" i="350"/>
  <c r="C9" i="349"/>
  <c r="V9" i="343"/>
  <c r="M9" i="342"/>
  <c r="H9" i="352"/>
  <c r="J9" i="351"/>
  <c r="L9" i="348"/>
  <c r="X9" i="345"/>
  <c r="O9" i="348"/>
  <c r="M9" i="344"/>
  <c r="J9" i="346"/>
  <c r="AD9" i="351"/>
  <c r="AC9" i="351"/>
  <c r="E9" i="343"/>
  <c r="Y9" i="346"/>
  <c r="R9" i="350"/>
  <c r="M9" i="349"/>
  <c r="Y9" i="351"/>
  <c r="F9" i="351"/>
  <c r="G9" i="348"/>
  <c r="Y9" i="347"/>
  <c r="AB9" i="342"/>
  <c r="O9" i="351"/>
  <c r="AE9" i="344"/>
  <c r="M9" i="348"/>
  <c r="Z9" i="344"/>
  <c r="AB9" i="346"/>
  <c r="P9" i="347"/>
  <c r="AA9" i="342"/>
  <c r="AF9" i="344"/>
  <c r="AC9" i="349"/>
  <c r="R9" i="348"/>
  <c r="AD9" i="346"/>
  <c r="M9" i="345"/>
  <c r="O9" i="352"/>
  <c r="Q9" i="350"/>
  <c r="AC9" i="348"/>
  <c r="AC9" i="350"/>
  <c r="D9" i="344"/>
  <c r="V9" i="344"/>
  <c r="Y9" i="343"/>
  <c r="W9" i="346"/>
  <c r="G9" i="351"/>
  <c r="D9" i="352"/>
  <c r="V9" i="351"/>
  <c r="L9" i="347"/>
  <c r="L9" i="346"/>
  <c r="AE9" i="349"/>
  <c r="H9" i="342"/>
  <c r="O9" i="347"/>
  <c r="AA9" i="350"/>
  <c r="H9" i="347"/>
  <c r="V9" i="346"/>
  <c r="K9" i="349"/>
  <c r="V9" i="349"/>
  <c r="I9" i="348"/>
  <c r="AE9" i="345"/>
  <c r="AC9" i="346"/>
  <c r="G9" i="350"/>
  <c r="I9" i="346"/>
  <c r="E9" i="351"/>
  <c r="AG9" i="348"/>
  <c r="AB9" i="352"/>
  <c r="AD9" i="345"/>
  <c r="Z9" i="352"/>
  <c r="C9" i="346"/>
  <c r="K9" i="345"/>
  <c r="T9" i="347"/>
  <c r="R9" i="346"/>
  <c r="O9" i="344"/>
  <c r="D9" i="345"/>
  <c r="H9" i="348"/>
  <c r="U9" i="344"/>
  <c r="D9" i="342"/>
  <c r="F9" i="342"/>
  <c r="S9" i="346"/>
  <c r="T9" i="346"/>
  <c r="Y9" i="344"/>
  <c r="U9" i="346"/>
  <c r="N9" i="344"/>
  <c r="J9" i="343"/>
  <c r="G9" i="347"/>
  <c r="P9" i="351"/>
  <c r="C9" i="330"/>
  <c r="H9" i="330"/>
  <c r="Z9" i="330"/>
  <c r="E9" i="330"/>
  <c r="M9" i="330"/>
  <c r="I9" i="330"/>
  <c r="AD9" i="330"/>
  <c r="J9" i="330"/>
  <c r="Y9" i="330"/>
  <c r="T9" i="330"/>
  <c r="AC9" i="330"/>
  <c r="AB9" i="330"/>
  <c r="U9" i="330"/>
  <c r="S9" i="330"/>
  <c r="G9" i="330"/>
  <c r="X9" i="330"/>
  <c r="R9" i="330"/>
  <c r="P9" i="330"/>
  <c r="Q9" i="330"/>
  <c r="D9" i="330"/>
  <c r="L9" i="330"/>
  <c r="AG9" i="330"/>
  <c r="K9" i="330"/>
  <c r="W9" i="330"/>
  <c r="O9" i="330"/>
  <c r="AA9" i="330"/>
  <c r="N9" i="330"/>
  <c r="F9" i="330"/>
  <c r="AF9" i="330"/>
  <c r="AE9" i="330"/>
  <c r="V9" i="330"/>
  <c r="AI50" i="33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<sst xmlns="http://schemas.openxmlformats.org/spreadsheetml/2006/main" count="1057" uniqueCount="108">
  <si>
    <t>Feiertage</t>
  </si>
  <si>
    <t>Neujahr</t>
  </si>
  <si>
    <t>Heilige 3 Könige</t>
  </si>
  <si>
    <t>Karfreitag</t>
  </si>
  <si>
    <t>Ostersonntag</t>
  </si>
  <si>
    <t>Ostermontag</t>
  </si>
  <si>
    <t>1. Mai Feiertag</t>
  </si>
  <si>
    <t>Christi Himmelfahrt</t>
  </si>
  <si>
    <t>Pfingstsonntag</t>
  </si>
  <si>
    <t>Pfingstmontag</t>
  </si>
  <si>
    <t>Fronleichnam</t>
  </si>
  <si>
    <t>Mariä Himmelfahrt</t>
  </si>
  <si>
    <t>Tag der Deutschen Einheit</t>
  </si>
  <si>
    <t>Allerheiligen</t>
  </si>
  <si>
    <t>1. Weihnachtsfeiertag</t>
  </si>
  <si>
    <t>2. Weihnachtsfeiertag</t>
  </si>
  <si>
    <t>copyright by Enrico Sadlowski</t>
  </si>
  <si>
    <t>T</t>
  </si>
  <si>
    <t>U</t>
  </si>
  <si>
    <t>Mitarbeiter</t>
  </si>
  <si>
    <t>Wochentag</t>
  </si>
  <si>
    <t>Feiertag</t>
  </si>
  <si>
    <t>Monat</t>
  </si>
  <si>
    <t>Sortierung</t>
  </si>
  <si>
    <t>Objektleiter</t>
  </si>
  <si>
    <t>Einstellungen</t>
  </si>
  <si>
    <t>Überprüfung</t>
  </si>
  <si>
    <t>ESD SICHERHEITSDIENST GMBH</t>
  </si>
  <si>
    <t>EIN UNTERNEHMEN DER ESD DIENSTLEISTUNGSGRUPPE</t>
  </si>
  <si>
    <t>Legende</t>
  </si>
  <si>
    <t>Datum</t>
  </si>
  <si>
    <t>PersonalNr</t>
  </si>
  <si>
    <t>Hinweise für Lohnbüro</t>
  </si>
  <si>
    <t>Schichten</t>
  </si>
  <si>
    <t>Anzahl</t>
  </si>
  <si>
    <t>Kürzel</t>
  </si>
  <si>
    <t>Hinweis</t>
  </si>
  <si>
    <t xml:space="preserve">Jahr: </t>
  </si>
  <si>
    <t xml:space="preserve">Objekt: </t>
  </si>
  <si>
    <t xml:space="preserve">ObjektNr: </t>
  </si>
  <si>
    <t>Auf den Dienstplänen können nur Mitarbeiter ausgewählt werden,</t>
  </si>
  <si>
    <t>die in der Mitarbeiterliste stehen.</t>
  </si>
  <si>
    <t>Sortieren Sie die Liste am besten nach den Mitarbeiternamen aus</t>
  </si>
  <si>
    <t>dem Stammobjekt und dann nach Mitarbeitern aus Aushilfsobjekten</t>
  </si>
  <si>
    <t>K</t>
  </si>
  <si>
    <t>Name</t>
  </si>
  <si>
    <t>Objekt:</t>
  </si>
  <si>
    <t>S</t>
  </si>
  <si>
    <t>Ausgabe</t>
  </si>
  <si>
    <t>Urlaub</t>
  </si>
  <si>
    <t>Krank</t>
  </si>
  <si>
    <t>Wachschießen</t>
  </si>
  <si>
    <t>Bemerkungen</t>
  </si>
  <si>
    <t>Urlaubstage</t>
  </si>
  <si>
    <t>Diese Werte werden für die Überprüfung der Gesamtstunden unterhalb des Dienstplanes benötigt</t>
  </si>
  <si>
    <t>Bitte tragen Sie von jedem Mitarbeiter  PersonalNr und Anzahl der</t>
  </si>
  <si>
    <t>im angegebenen Jahr zustehenden Urlaubstage ein.</t>
  </si>
  <si>
    <t>Die PersonalNummern werden vom Zeiterfassungsprogramm benötigt.</t>
  </si>
  <si>
    <t>Die Anzahl der Urlaubstage werden zum berechnen des</t>
  </si>
  <si>
    <t>Resturlaubs im Dienstplan benötigt.</t>
  </si>
  <si>
    <t>Tragen Sie hier alle Kürzel für Tag- und für Nachtschichten ein.</t>
  </si>
  <si>
    <t xml:space="preserve">Diese werden im Dienstplan zur Berechnung der Gesamtanzahl </t>
  </si>
  <si>
    <t>an Tag- und Nachtchichten verwendet</t>
  </si>
  <si>
    <t xml:space="preserve">Objektl. </t>
  </si>
  <si>
    <t>Unter Vorbehalt / Änderungen möglich</t>
  </si>
  <si>
    <t/>
  </si>
  <si>
    <t>Freiwunsch</t>
  </si>
  <si>
    <t>Mitarbeiternamen</t>
  </si>
  <si>
    <t>FS</t>
  </si>
  <si>
    <t>Objektleitername</t>
  </si>
  <si>
    <t>O-00969</t>
  </si>
  <si>
    <t>RPR-Putgarten</t>
  </si>
  <si>
    <t>Dömpke</t>
  </si>
  <si>
    <t>Lonskowski</t>
  </si>
  <si>
    <t>Pötter</t>
  </si>
  <si>
    <t>Rappe</t>
  </si>
  <si>
    <t>Tarras</t>
  </si>
  <si>
    <t>Hidde</t>
  </si>
  <si>
    <t>Päplow</t>
  </si>
  <si>
    <t>Küster</t>
  </si>
  <si>
    <t>Heß</t>
  </si>
  <si>
    <t>Arndt</t>
  </si>
  <si>
    <t>Brauer</t>
  </si>
  <si>
    <t>Koß</t>
  </si>
  <si>
    <t>Napp</t>
  </si>
  <si>
    <t>Weinert</t>
  </si>
  <si>
    <t>Bruns</t>
  </si>
  <si>
    <t>Prondzinski</t>
  </si>
  <si>
    <t>333</t>
  </si>
  <si>
    <t>678</t>
  </si>
  <si>
    <t>AWP</t>
  </si>
  <si>
    <t>TES</t>
  </si>
  <si>
    <t>WT</t>
  </si>
  <si>
    <t>AB12</t>
  </si>
  <si>
    <t>SZ</t>
  </si>
  <si>
    <t>Wach-/Szenarioausbildung (wöchentlich)</t>
  </si>
  <si>
    <t>Torposten, EGK, Streife</t>
  </si>
  <si>
    <t>Aufsichtsf. Wachperson</t>
  </si>
  <si>
    <t>Szenarioausbildung</t>
  </si>
  <si>
    <t>AT</t>
  </si>
  <si>
    <t>Tage</t>
  </si>
  <si>
    <t>gesamt</t>
  </si>
  <si>
    <t>Stunden</t>
  </si>
  <si>
    <t>Vertrags-Nr.:</t>
  </si>
  <si>
    <t>SAP Nr.:</t>
  </si>
  <si>
    <t>8/1590/S 8928</t>
  </si>
  <si>
    <t>6002577073</t>
  </si>
  <si>
    <t>VS - Nur für den Dienstgebrauch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</si>
</sst>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\ %"/>
    <numFmt numFmtId="165" formatCode="ddd"/>
    <numFmt numFmtId="166" formatCode="d"/>
    <numFmt numFmtId="167" formatCode="dd/mmm/yyyy"/>
  </numFmts>
  <fonts count="5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4"/>
      <color rgb="FFFFFFFF"/>
      <name val="Arial"/>
      <family val="2"/>
    </font>
    <font>
      <sz val="2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4"/>
      <color rgb="FF0000D4"/>
      <name val="Arial"/>
      <family val="2"/>
    </font>
    <font>
      <sz val="14"/>
      <color theme="0"/>
      <name val="Arial"/>
      <family val="2"/>
    </font>
    <font>
      <b/>
      <sz val="18"/>
      <name val="Arial"/>
      <family val="2"/>
    </font>
    <font>
      <sz val="18"/>
      <color rgb="FF000000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8"/>
      <color theme="1"/>
      <name val="Arial"/>
      <family val="2"/>
    </font>
    <font>
      <sz val="12"/>
      <color theme="1"/>
      <name val="Arial"/>
      <family val="2"/>
    </font>
    <font>
      <b/>
      <sz val="20"/>
      <name val="Arial"/>
      <family val="2"/>
    </font>
    <font>
      <sz val="11"/>
      <name val="Arial"/>
      <family val="2"/>
    </font>
    <font>
      <sz val="16"/>
      <name val="Arial"/>
      <family val="2"/>
    </font>
    <font>
      <b/>
      <sz val="22"/>
      <name val="Arial"/>
      <family val="2"/>
    </font>
    <font>
      <sz val="24"/>
      <name val="Arial"/>
      <family val="2"/>
    </font>
    <font>
      <sz val="36"/>
      <name val="Arial"/>
      <family val="2"/>
    </font>
    <font>
      <b/>
      <sz val="36"/>
      <name val="Arial"/>
      <family val="2"/>
    </font>
    <font>
      <b/>
      <sz val="16"/>
      <color rgb="FF000000"/>
      <name val="Arial"/>
      <family val="2"/>
    </font>
    <font>
      <sz val="16"/>
      <color rgb="FF000000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4"/>
      <color theme="0" tint="-0.14999847407452621"/>
      <name val="Arial"/>
      <family val="2"/>
    </font>
    <font>
      <b/>
      <sz val="20"/>
      <color theme="0" tint="-0.14999847407452621"/>
      <name val="Arial"/>
      <family val="2"/>
    </font>
    <font>
      <sz val="22"/>
      <name val="Arial"/>
      <family val="2"/>
    </font>
    <font>
      <sz val="10"/>
      <color theme="0"/>
      <name val="Arial"/>
      <family val="2"/>
    </font>
    <font>
      <sz val="18"/>
      <name val="Arial"/>
      <family val="2"/>
    </font>
    <font>
      <b/>
      <sz val="18"/>
      <color theme="9"/>
      <name val="Arial"/>
      <family val="2"/>
    </font>
    <font>
      <sz val="16"/>
      <color rgb="FF0000D4"/>
      <name val="Arial"/>
      <family val="2"/>
    </font>
    <font>
      <b/>
      <sz val="16"/>
      <color rgb="FFFF0000"/>
      <name val="Arial"/>
      <family val="2"/>
    </font>
    <font>
      <sz val="16"/>
      <color rgb="FFFF0000"/>
      <name val="Arial"/>
      <family val="2"/>
    </font>
    <font>
      <b/>
      <sz val="18"/>
      <color rgb="FFFF0000"/>
      <name val="Arial"/>
      <family val="2"/>
    </font>
    <font>
      <sz val="24"/>
      <color rgb="FFFF0000"/>
      <name val="Arial"/>
      <family val="2"/>
    </font>
    <font>
      <sz val="12"/>
      <color rgb="FF0070C0"/>
      <name val="Arial"/>
      <family val="2"/>
    </font>
    <font>
      <sz val="12"/>
      <color rgb="FFFF0000"/>
      <name val="Arial"/>
      <family val="2"/>
    </font>
    <font>
      <sz val="16"/>
      <color rgb="FF00B050"/>
      <name val="Arial"/>
      <family val="2"/>
    </font>
    <font>
      <sz val="10"/>
      <color rgb="FF00B050"/>
      <name val="Arial"/>
      <family val="2"/>
    </font>
    <font>
      <b/>
      <sz val="16"/>
      <color theme="0"/>
      <name val="Arial"/>
      <family val="2"/>
    </font>
    <font>
      <b/>
      <sz val="26"/>
      <name val="Arial"/>
      <family val="2"/>
    </font>
    <font>
      <b/>
      <sz val="14"/>
      <color rgb="FFFF0000"/>
      <name val="Arial"/>
      <family val="2"/>
    </font>
    <font>
      <b/>
      <sz val="16"/>
      <color theme="1"/>
      <name val="Arial"/>
      <family val="2"/>
    </font>
    <font>
      <sz val="16"/>
      <color theme="0"/>
      <name val="Arial"/>
      <family val="2"/>
    </font>
    <font>
      <sz val="16"/>
      <color theme="1"/>
      <name val="Arial"/>
      <family val="2"/>
    </font>
    <font>
      <sz val="16"/>
      <color theme="0" tint="-0.249977111117893"/>
      <name val="Arial"/>
      <family val="2"/>
    </font>
    <font>
      <sz val="16"/>
      <color indexed="55"/>
      <name val="Arial"/>
      <family val="2"/>
    </font>
    <font>
      <sz val="14"/>
      <color theme="1"/>
      <name val="Arial"/>
      <family val="2"/>
    </font>
    <font>
      <sz val="20"/>
      <name val="Arial"/>
      <family val="2"/>
    </font>
    <font>
      <b/>
      <sz val="14"/>
      <color rgb="FF000000"/>
      <name val="Arial"/>
      <family val="2"/>
    </font>
    <font>
      <b/>
      <i/>
      <sz val="14"/>
      <name val="Arial"/>
      <family val="2"/>
    </font>
    <font>
      <b/>
      <sz val="14"/>
      <color theme="0"/>
      <name val="Arial"/>
      <family val="2"/>
    </font>
    <font>
      <b/>
      <sz val="14"/>
      <color theme="1"/>
      <name val="Arial"/>
      <family val="2"/>
    </font>
    <font>
      <b/>
      <sz val="14"/>
      <color theme="9"/>
      <name val="Arial"/>
      <family val="2"/>
    </font>
    <font>
      <b/>
      <sz val="14"/>
      <color theme="4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CC"/>
        <bgColor rgb="FFFDEADA"/>
      </patternFill>
    </fill>
    <fill>
      <patternFill patternType="solid">
        <fgColor rgb="FFFFFFFF"/>
        <bgColor rgb="FFF2F2F2"/>
      </patternFill>
    </fill>
    <fill>
      <patternFill patternType="solid">
        <fgColor rgb="FF00A933"/>
        <bgColor rgb="FF00B050"/>
      </patternFill>
    </fill>
    <fill>
      <patternFill patternType="solid">
        <fgColor rgb="FFFF0000"/>
        <bgColor rgb="FF993300"/>
      </patternFill>
    </fill>
    <fill>
      <patternFill patternType="solid">
        <fgColor rgb="FF00B050"/>
        <bgColor rgb="FF00A933"/>
      </patternFill>
    </fill>
    <fill>
      <patternFill patternType="solid">
        <fgColor rgb="FFF2F2F2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6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</borders>
  <cellStyleXfs count="9">
    <xf numFmtId="0" fontId="0" fillId="0" borderId="0"/>
    <xf numFmtId="0" fontId="1" fillId="2" borderId="1" applyProtection="0"/>
    <xf numFmtId="164" fontId="1" fillId="0" borderId="0" applyBorder="0" applyProtection="0"/>
    <xf numFmtId="0" fontId="2" fillId="0" borderId="0"/>
    <xf numFmtId="0" fontId="3" fillId="3" borderId="0" applyBorder="0" applyProtection="0"/>
    <xf numFmtId="0" fontId="4" fillId="4" borderId="0" applyBorder="0">
      <alignment horizontal="center"/>
      <protection hidden="1"/>
    </xf>
    <xf numFmtId="0" fontId="4" fillId="5" borderId="0" applyBorder="0">
      <alignment horizontal="center"/>
      <protection hidden="1"/>
    </xf>
    <xf numFmtId="0" fontId="4" fillId="5" borderId="0" applyBorder="0">
      <alignment horizontal="center"/>
      <protection hidden="1"/>
    </xf>
    <xf numFmtId="0" fontId="4" fillId="4" borderId="0" applyBorder="0">
      <alignment horizontal="center"/>
      <protection hidden="1"/>
    </xf>
  </cellStyleXfs>
  <cellXfs count="285">
    <xf numFmtId="0" fontId="0" fillId="0" borderId="0" xfId="0"/>
    <xf numFmtId="0" fontId="5" fillId="0" borderId="0" xfId="0" applyFont="1" applyAlignment="1">
      <alignment horizontal="right" vertical="center"/>
    </xf>
    <xf numFmtId="0" fontId="3" fillId="0" borderId="0" xfId="0" applyFont="1"/>
    <xf numFmtId="0" fontId="0" fillId="0" borderId="0" xfId="0" applyAlignment="1">
      <alignment vertical="center"/>
    </xf>
    <xf numFmtId="0" fontId="3" fillId="0" borderId="0" xfId="0" applyFont="1" applyProtection="1">
      <protection hidden="1"/>
    </xf>
    <xf numFmtId="0" fontId="0" fillId="0" borderId="0" xfId="0" applyProtection="1">
      <protection hidden="1"/>
    </xf>
    <xf numFmtId="0" fontId="8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vertical="top"/>
      <protection hidden="1"/>
    </xf>
    <xf numFmtId="0" fontId="3" fillId="0" borderId="0" xfId="0" applyFont="1" applyProtection="1">
      <protection locked="0"/>
    </xf>
    <xf numFmtId="0" fontId="15" fillId="0" borderId="11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0" fontId="7" fillId="0" borderId="0" xfId="0" applyFont="1" applyAlignment="1" applyProtection="1">
      <alignment vertical="top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4" fontId="3" fillId="0" borderId="16" xfId="0" applyNumberFormat="1" applyFont="1" applyBorder="1" applyProtection="1">
      <protection locked="0"/>
    </xf>
    <xf numFmtId="14" fontId="3" fillId="0" borderId="14" xfId="0" applyNumberFormat="1" applyFont="1" applyBorder="1" applyProtection="1"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9" fillId="9" borderId="18" xfId="0" applyFont="1" applyFill="1" applyBorder="1" applyAlignment="1" applyProtection="1">
      <alignment vertical="center"/>
      <protection hidden="1"/>
    </xf>
    <xf numFmtId="0" fontId="18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locked="0"/>
    </xf>
    <xf numFmtId="0" fontId="24" fillId="0" borderId="0" xfId="0" applyFont="1" applyAlignment="1" applyProtection="1">
      <alignment horizontal="left" vertical="center"/>
      <protection hidden="1"/>
    </xf>
    <xf numFmtId="49" fontId="18" fillId="0" borderId="0" xfId="0" applyNumberFormat="1" applyFont="1" applyAlignment="1" applyProtection="1">
      <alignment vertical="center"/>
      <protection hidden="1"/>
    </xf>
    <xf numFmtId="0" fontId="18" fillId="0" borderId="0" xfId="0" applyFont="1" applyAlignment="1" applyProtection="1">
      <alignment vertical="center"/>
      <protection hidden="1"/>
    </xf>
    <xf numFmtId="0" fontId="2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9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3" fillId="0" borderId="34" xfId="0" applyFont="1" applyBorder="1" applyAlignment="1" applyProtection="1">
      <alignment vertical="center"/>
      <protection hidden="1"/>
    </xf>
    <xf numFmtId="0" fontId="3" fillId="0" borderId="35" xfId="0" applyFont="1" applyBorder="1" applyAlignment="1" applyProtection="1">
      <alignment vertical="center"/>
      <protection hidden="1"/>
    </xf>
    <xf numFmtId="0" fontId="30" fillId="0" borderId="0" xfId="0" applyFont="1" applyAlignment="1">
      <alignment vertical="center"/>
    </xf>
    <xf numFmtId="0" fontId="11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Alignment="1" applyProtection="1">
      <alignment horizontal="left" vertical="center"/>
      <protection locked="0"/>
    </xf>
    <xf numFmtId="0" fontId="11" fillId="0" borderId="43" xfId="0" applyFont="1" applyBorder="1" applyAlignment="1" applyProtection="1">
      <alignment horizontal="left" vertical="center"/>
      <protection locked="0"/>
    </xf>
    <xf numFmtId="0" fontId="15" fillId="0" borderId="37" xfId="0" applyFont="1" applyBorder="1" applyAlignment="1" applyProtection="1">
      <alignment horizontal="center" vertical="center"/>
      <protection locked="0"/>
    </xf>
    <xf numFmtId="0" fontId="7" fillId="0" borderId="46" xfId="0" applyFont="1" applyBorder="1" applyAlignment="1">
      <alignment horizontal="center" vertical="center"/>
    </xf>
    <xf numFmtId="0" fontId="3" fillId="11" borderId="15" xfId="0" applyFont="1" applyFill="1" applyBorder="1" applyAlignment="1" applyProtection="1">
      <alignment horizontal="center" vertical="center"/>
      <protection hidden="1"/>
    </xf>
    <xf numFmtId="0" fontId="3" fillId="11" borderId="20" xfId="0" applyFont="1" applyFill="1" applyBorder="1" applyAlignment="1" applyProtection="1">
      <alignment horizontal="center" vertical="center"/>
      <protection hidden="1"/>
    </xf>
    <xf numFmtId="0" fontId="3" fillId="12" borderId="8" xfId="0" applyFont="1" applyFill="1" applyBorder="1" applyAlignment="1" applyProtection="1">
      <alignment horizontal="center" vertical="center"/>
      <protection hidden="1"/>
    </xf>
    <xf numFmtId="0" fontId="3" fillId="12" borderId="22" xfId="0" applyFont="1" applyFill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6" fillId="0" borderId="0" xfId="0" applyFont="1" applyAlignment="1">
      <alignment horizontal="center"/>
    </xf>
    <xf numFmtId="0" fontId="6" fillId="0" borderId="0" xfId="0" applyFont="1" applyAlignment="1" applyProtection="1">
      <alignment horizontal="center"/>
      <protection hidden="1"/>
    </xf>
    <xf numFmtId="0" fontId="38" fillId="0" borderId="12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" fontId="7" fillId="0" borderId="8" xfId="0" applyNumberFormat="1" applyFont="1" applyBorder="1" applyAlignment="1" applyProtection="1">
      <alignment horizontal="center" vertical="center"/>
      <protection locked="0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1" fontId="7" fillId="0" borderId="10" xfId="0" applyNumberFormat="1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39" fillId="0" borderId="27" xfId="0" applyFont="1" applyBorder="1" applyAlignment="1">
      <alignment horizontal="center" vertical="center"/>
    </xf>
    <xf numFmtId="0" fontId="39" fillId="0" borderId="47" xfId="0" applyFont="1" applyBorder="1" applyAlignment="1">
      <alignment horizontal="center" vertical="center"/>
    </xf>
    <xf numFmtId="165" fontId="12" fillId="0" borderId="19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/>
    </xf>
    <xf numFmtId="166" fontId="12" fillId="0" borderId="48" xfId="0" applyNumberFormat="1" applyFont="1" applyBorder="1" applyAlignment="1">
      <alignment horizontal="center" vertical="center"/>
    </xf>
    <xf numFmtId="166" fontId="12" fillId="0" borderId="11" xfId="0" applyNumberFormat="1" applyFont="1" applyBorder="1" applyAlignment="1">
      <alignment horizontal="center" vertical="center"/>
    </xf>
    <xf numFmtId="166" fontId="12" fillId="0" borderId="37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0" xfId="0" applyFont="1" applyProtection="1">
      <protection hidden="1"/>
    </xf>
    <xf numFmtId="0" fontId="43" fillId="6" borderId="2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9" fillId="0" borderId="0" xfId="0" applyFont="1" applyProtection="1">
      <protection hidden="1"/>
    </xf>
    <xf numFmtId="0" fontId="9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vertical="center"/>
      <protection locked="0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3" fillId="0" borderId="19" xfId="0" applyNumberFormat="1" applyFont="1" applyBorder="1" applyAlignment="1" applyProtection="1">
      <alignment vertical="center"/>
      <protection hidden="1"/>
    </xf>
    <xf numFmtId="49" fontId="3" fillId="0" borderId="3" xfId="0" applyNumberFormat="1" applyFont="1" applyBorder="1" applyAlignment="1" applyProtection="1">
      <alignment vertical="center"/>
      <protection hidden="1"/>
    </xf>
    <xf numFmtId="49" fontId="3" fillId="0" borderId="5" xfId="0" applyNumberFormat="1" applyFont="1" applyBorder="1" applyAlignment="1" applyProtection="1">
      <alignment vertical="center"/>
      <protection hidden="1"/>
    </xf>
    <xf numFmtId="0" fontId="3" fillId="11" borderId="8" xfId="0" applyFont="1" applyFill="1" applyBorder="1" applyAlignment="1" applyProtection="1">
      <alignment horizontal="center" vertical="center"/>
      <protection hidden="1"/>
    </xf>
    <xf numFmtId="0" fontId="3" fillId="11" borderId="4" xfId="0" applyFont="1" applyFill="1" applyBorder="1" applyAlignment="1" applyProtection="1">
      <alignment horizontal="center" vertical="center"/>
      <protection hidden="1"/>
    </xf>
    <xf numFmtId="0" fontId="3" fillId="12" borderId="4" xfId="0" applyFont="1" applyFill="1" applyBorder="1" applyAlignment="1" applyProtection="1">
      <alignment horizontal="center" vertical="center"/>
      <protection hidden="1"/>
    </xf>
    <xf numFmtId="0" fontId="3" fillId="12" borderId="6" xfId="0" applyFont="1" applyFill="1" applyBorder="1" applyAlignment="1" applyProtection="1">
      <alignment horizontal="center" vertical="center"/>
      <protection hidden="1"/>
    </xf>
    <xf numFmtId="0" fontId="14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7" fillId="10" borderId="0" xfId="0" applyFont="1" applyFill="1" applyAlignment="1">
      <alignment vertical="center"/>
    </xf>
    <xf numFmtId="0" fontId="47" fillId="10" borderId="29" xfId="0" applyFont="1" applyFill="1" applyBorder="1" applyAlignment="1">
      <alignment vertical="center"/>
    </xf>
    <xf numFmtId="0" fontId="47" fillId="10" borderId="30" xfId="0" applyFont="1" applyFill="1" applyBorder="1" applyAlignment="1">
      <alignment vertical="center"/>
    </xf>
    <xf numFmtId="0" fontId="47" fillId="10" borderId="31" xfId="0" applyFont="1" applyFill="1" applyBorder="1" applyAlignment="1">
      <alignment vertical="center"/>
    </xf>
    <xf numFmtId="0" fontId="47" fillId="10" borderId="13" xfId="0" applyFont="1" applyFill="1" applyBorder="1" applyAlignment="1">
      <alignment vertical="center"/>
    </xf>
    <xf numFmtId="0" fontId="47" fillId="10" borderId="21" xfId="0" applyFont="1" applyFill="1" applyBorder="1" applyAlignment="1">
      <alignment vertical="center"/>
    </xf>
    <xf numFmtId="0" fontId="13" fillId="10" borderId="13" xfId="0" applyFont="1" applyFill="1" applyBorder="1" applyAlignment="1">
      <alignment vertical="center"/>
    </xf>
    <xf numFmtId="0" fontId="47" fillId="10" borderId="32" xfId="0" applyFont="1" applyFill="1" applyBorder="1" applyAlignment="1">
      <alignment vertical="center"/>
    </xf>
    <xf numFmtId="0" fontId="47" fillId="10" borderId="28" xfId="0" applyFont="1" applyFill="1" applyBorder="1" applyAlignment="1">
      <alignment vertical="center"/>
    </xf>
    <xf numFmtId="0" fontId="47" fillId="10" borderId="33" xfId="0" applyFont="1" applyFill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42" xfId="0" applyFont="1" applyBorder="1" applyAlignment="1" applyProtection="1">
      <alignment horizontal="center" vertical="center"/>
      <protection locked="0"/>
    </xf>
    <xf numFmtId="0" fontId="18" fillId="0" borderId="43" xfId="0" applyFont="1" applyBorder="1" applyAlignment="1" applyProtection="1">
      <alignment horizontal="center" vertical="center"/>
      <protection locked="0"/>
    </xf>
    <xf numFmtId="1" fontId="18" fillId="0" borderId="3" xfId="0" applyNumberFormat="1" applyFont="1" applyBorder="1" applyAlignment="1">
      <alignment horizontal="center" vertical="center"/>
    </xf>
    <xf numFmtId="1" fontId="18" fillId="0" borderId="5" xfId="0" applyNumberFormat="1" applyFont="1" applyBorder="1" applyAlignment="1">
      <alignment horizontal="center" vertical="center"/>
    </xf>
    <xf numFmtId="166" fontId="50" fillId="0" borderId="0" xfId="0" applyNumberFormat="1" applyFont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left" vertical="center"/>
      <protection hidden="1"/>
    </xf>
    <xf numFmtId="0" fontId="25" fillId="0" borderId="0" xfId="0" applyFont="1" applyAlignment="1" applyProtection="1">
      <alignment vertical="center"/>
      <protection hidden="1"/>
    </xf>
    <xf numFmtId="0" fontId="35" fillId="0" borderId="0" xfId="0" applyFont="1" applyAlignment="1" applyProtection="1">
      <alignment horizontal="center" vertical="center"/>
      <protection hidden="1"/>
    </xf>
    <xf numFmtId="1" fontId="18" fillId="0" borderId="0" xfId="0" applyNumberFormat="1" applyFont="1" applyAlignment="1" applyProtection="1">
      <alignment vertical="center"/>
      <protection hidden="1"/>
    </xf>
    <xf numFmtId="0" fontId="23" fillId="0" borderId="0" xfId="0" applyFont="1" applyAlignment="1" applyProtection="1">
      <alignment horizontal="left" vertical="center"/>
      <protection hidden="1"/>
    </xf>
    <xf numFmtId="0" fontId="33" fillId="0" borderId="0" xfId="0" applyFont="1" applyAlignment="1" applyProtection="1">
      <alignment horizontal="left" vertical="center"/>
      <protection hidden="1"/>
    </xf>
    <xf numFmtId="49" fontId="18" fillId="0" borderId="0" xfId="0" applyNumberFormat="1" applyFont="1" applyAlignment="1" applyProtection="1">
      <alignment horizontal="left" vertical="center"/>
      <protection hidden="1"/>
    </xf>
    <xf numFmtId="0" fontId="24" fillId="0" borderId="28" xfId="0" applyFont="1" applyBorder="1" applyAlignment="1" applyProtection="1">
      <alignment horizontal="left" vertical="center"/>
      <protection hidden="1"/>
    </xf>
    <xf numFmtId="0" fontId="33" fillId="0" borderId="28" xfId="0" applyFont="1" applyBorder="1" applyAlignment="1" applyProtection="1">
      <alignment horizontal="left" vertical="center"/>
      <protection hidden="1"/>
    </xf>
    <xf numFmtId="49" fontId="18" fillId="0" borderId="28" xfId="0" applyNumberFormat="1" applyFont="1" applyBorder="1" applyAlignment="1" applyProtection="1">
      <alignment horizontal="left" vertical="center"/>
      <protection hidden="1"/>
    </xf>
    <xf numFmtId="0" fontId="18" fillId="0" borderId="28" xfId="0" applyFont="1" applyBorder="1" applyAlignment="1" applyProtection="1">
      <alignment horizontal="left" vertical="center"/>
      <protection hidden="1"/>
    </xf>
    <xf numFmtId="0" fontId="49" fillId="0" borderId="0" xfId="0" applyFont="1" applyAlignment="1" applyProtection="1">
      <alignment vertical="center"/>
      <protection hidden="1"/>
    </xf>
    <xf numFmtId="14" fontId="23" fillId="0" borderId="0" xfId="0" applyNumberFormat="1" applyFont="1" applyAlignment="1" applyProtection="1">
      <alignment vertical="center"/>
      <protection locked="0" hidden="1"/>
    </xf>
    <xf numFmtId="0" fontId="3" fillId="0" borderId="0" xfId="0" applyFont="1" applyProtection="1">
      <protection locked="0" hidden="1"/>
    </xf>
    <xf numFmtId="14" fontId="24" fillId="0" borderId="0" xfId="0" applyNumberFormat="1" applyFont="1" applyAlignment="1" applyProtection="1">
      <alignment vertical="center"/>
      <protection locked="0" hidden="1"/>
    </xf>
    <xf numFmtId="0" fontId="18" fillId="0" borderId="30" xfId="0" applyFont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alignment horizontal="left" vertical="center"/>
      <protection locked="0"/>
    </xf>
    <xf numFmtId="0" fontId="24" fillId="0" borderId="0" xfId="0" applyFont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49" fontId="3" fillId="0" borderId="36" xfId="0" applyNumberFormat="1" applyFont="1" applyBorder="1" applyAlignment="1" applyProtection="1">
      <alignment vertical="center"/>
      <protection locked="0" hidden="1"/>
    </xf>
    <xf numFmtId="49" fontId="3" fillId="0" borderId="35" xfId="0" applyNumberFormat="1" applyFont="1" applyBorder="1" applyAlignment="1" applyProtection="1">
      <alignment vertical="center"/>
      <protection locked="0" hidden="1"/>
    </xf>
    <xf numFmtId="49" fontId="3" fillId="0" borderId="16" xfId="0" applyNumberFormat="1" applyFont="1" applyBorder="1" applyAlignment="1" applyProtection="1">
      <alignment vertical="center"/>
      <protection locked="0" hidden="1"/>
    </xf>
    <xf numFmtId="0" fontId="19" fillId="9" borderId="23" xfId="0" applyFont="1" applyFill="1" applyBorder="1" applyAlignment="1" applyProtection="1">
      <alignment vertical="center"/>
      <protection hidden="1"/>
    </xf>
    <xf numFmtId="0" fontId="16" fillId="0" borderId="0" xfId="0" applyFont="1"/>
    <xf numFmtId="0" fontId="21" fillId="0" borderId="0" xfId="0" applyFont="1"/>
    <xf numFmtId="0" fontId="17" fillId="0" borderId="0" xfId="0" applyFont="1" applyAlignment="1">
      <alignment vertical="top"/>
    </xf>
    <xf numFmtId="0" fontId="22" fillId="0" borderId="0" xfId="0" applyFont="1" applyAlignment="1">
      <alignment vertical="top"/>
    </xf>
    <xf numFmtId="0" fontId="18" fillId="0" borderId="0" xfId="0" applyFont="1"/>
    <xf numFmtId="167" fontId="31" fillId="0" borderId="0" xfId="0" applyNumberFormat="1" applyFont="1" applyAlignment="1">
      <alignment horizontal="left"/>
    </xf>
    <xf numFmtId="0" fontId="11" fillId="0" borderId="42" xfId="0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49" fontId="25" fillId="0" borderId="0" xfId="0" applyNumberFormat="1" applyFont="1" applyAlignment="1" applyProtection="1">
      <alignment horizontal="left" vertical="center"/>
      <protection locked="0"/>
    </xf>
    <xf numFmtId="0" fontId="24" fillId="0" borderId="28" xfId="0" applyFont="1" applyBorder="1" applyAlignment="1" applyProtection="1">
      <alignment horizontal="left" vertical="center"/>
      <protection locked="0"/>
    </xf>
    <xf numFmtId="0" fontId="33" fillId="0" borderId="28" xfId="0" applyFont="1" applyBorder="1" applyAlignment="1" applyProtection="1">
      <alignment horizontal="left" vertical="center"/>
      <protection locked="0"/>
    </xf>
    <xf numFmtId="49" fontId="18" fillId="0" borderId="28" xfId="0" applyNumberFormat="1" applyFont="1" applyBorder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0" fontId="3" fillId="3" borderId="26" xfId="0" applyFont="1" applyFill="1" applyBorder="1" applyAlignment="1">
      <alignment vertical="center"/>
    </xf>
    <xf numFmtId="14" fontId="25" fillId="3" borderId="27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vertical="center"/>
    </xf>
    <xf numFmtId="14" fontId="25" fillId="3" borderId="4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center"/>
    </xf>
    <xf numFmtId="14" fontId="25" fillId="3" borderId="6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3" fillId="0" borderId="0" xfId="0" applyFont="1" applyAlignment="1">
      <alignment vertical="center"/>
    </xf>
    <xf numFmtId="0" fontId="18" fillId="0" borderId="30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14" fontId="6" fillId="0" borderId="54" xfId="0" applyNumberFormat="1" applyFont="1" applyBorder="1" applyAlignment="1">
      <alignment horizontal="center" vertical="center"/>
    </xf>
    <xf numFmtId="14" fontId="6" fillId="0" borderId="55" xfId="0" applyNumberFormat="1" applyFont="1" applyBorder="1" applyAlignment="1">
      <alignment horizontal="center" vertical="center"/>
    </xf>
    <xf numFmtId="0" fontId="45" fillId="16" borderId="0" xfId="0" applyFont="1" applyFill="1" applyBorder="1" applyAlignment="1" applyProtection="1">
      <alignment horizontal="center" vertical="center"/>
      <protection locked="0"/>
    </xf>
    <xf numFmtId="0" fontId="47" fillId="16" borderId="0" xfId="0" applyFont="1" applyFill="1" applyBorder="1" applyAlignment="1" applyProtection="1">
      <alignment horizontal="left" vertical="center"/>
      <protection locked="0"/>
    </xf>
    <xf numFmtId="49" fontId="47" fillId="16" borderId="0" xfId="0" applyNumberFormat="1" applyFont="1" applyFill="1" applyBorder="1" applyAlignment="1" applyProtection="1">
      <alignment horizontal="left" vertical="center"/>
      <protection locked="0"/>
    </xf>
    <xf numFmtId="49" fontId="6" fillId="0" borderId="60" xfId="0" applyNumberFormat="1" applyFont="1" applyBorder="1" applyAlignment="1" applyProtection="1">
      <alignment horizontal="center" vertical="center"/>
      <protection locked="0"/>
    </xf>
    <xf numFmtId="49" fontId="6" fillId="0" borderId="15" xfId="0" applyNumberFormat="1" applyFont="1" applyBorder="1" applyAlignment="1" applyProtection="1">
      <alignment horizontal="center" vertical="center"/>
      <protection locked="0"/>
    </xf>
    <xf numFmtId="49" fontId="6" fillId="0" borderId="44" xfId="0" applyNumberFormat="1" applyFont="1" applyBorder="1" applyAlignment="1" applyProtection="1">
      <alignment horizontal="center" vertical="center"/>
      <protection locked="0"/>
    </xf>
    <xf numFmtId="49" fontId="6" fillId="0" borderId="53" xfId="0" applyNumberFormat="1" applyFont="1" applyBorder="1" applyAlignment="1" applyProtection="1">
      <alignment horizontal="center" vertical="center"/>
      <protection locked="0"/>
    </xf>
    <xf numFmtId="49" fontId="6" fillId="0" borderId="8" xfId="0" applyNumberFormat="1" applyFont="1" applyBorder="1" applyAlignment="1" applyProtection="1">
      <alignment horizontal="center" vertical="center"/>
      <protection locked="0"/>
    </xf>
    <xf numFmtId="49" fontId="6" fillId="0" borderId="10" xfId="0" applyNumberFormat="1" applyFont="1" applyBorder="1" applyAlignment="1" applyProtection="1">
      <alignment horizontal="center" vertical="center"/>
      <protection locked="0"/>
    </xf>
    <xf numFmtId="49" fontId="52" fillId="0" borderId="8" xfId="0" applyNumberFormat="1" applyFont="1" applyBorder="1" applyAlignment="1" applyProtection="1">
      <alignment horizontal="center" vertical="center"/>
      <protection locked="0"/>
    </xf>
    <xf numFmtId="49" fontId="6" fillId="0" borderId="37" xfId="0" applyNumberFormat="1" applyFont="1" applyBorder="1" applyAlignment="1" applyProtection="1">
      <alignment horizontal="center" vertical="center"/>
      <protection locked="0"/>
    </xf>
    <xf numFmtId="49" fontId="6" fillId="0" borderId="61" xfId="0" applyNumberFormat="1" applyFont="1" applyBorder="1" applyAlignment="1" applyProtection="1">
      <alignment horizontal="center" vertical="center"/>
      <protection locked="0"/>
    </xf>
    <xf numFmtId="49" fontId="6" fillId="0" borderId="22" xfId="0" applyNumberFormat="1" applyFont="1" applyBorder="1" applyAlignment="1" applyProtection="1">
      <alignment horizontal="center" vertical="center"/>
      <protection locked="0"/>
    </xf>
    <xf numFmtId="49" fontId="53" fillId="0" borderId="45" xfId="0" applyNumberFormat="1" applyFont="1" applyBorder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left" vertical="center"/>
      <protection hidden="1"/>
    </xf>
    <xf numFmtId="0" fontId="20" fillId="0" borderId="0" xfId="0" applyFont="1" applyAlignment="1">
      <alignment horizontal="center" vertical="top"/>
    </xf>
    <xf numFmtId="1" fontId="55" fillId="16" borderId="8" xfId="0" applyNumberFormat="1" applyFont="1" applyFill="1" applyBorder="1" applyAlignment="1">
      <alignment horizontal="center" vertical="center"/>
    </xf>
    <xf numFmtId="1" fontId="55" fillId="16" borderId="4" xfId="0" applyNumberFormat="1" applyFont="1" applyFill="1" applyBorder="1" applyAlignment="1">
      <alignment horizontal="center" vertical="center"/>
    </xf>
    <xf numFmtId="1" fontId="6" fillId="16" borderId="50" xfId="0" applyNumberFormat="1" applyFont="1" applyFill="1" applyBorder="1" applyAlignment="1">
      <alignment horizontal="center" vertical="center"/>
    </xf>
    <xf numFmtId="1" fontId="55" fillId="16" borderId="50" xfId="0" applyNumberFormat="1" applyFont="1" applyFill="1" applyBorder="1" applyAlignment="1">
      <alignment horizontal="center" vertical="center"/>
    </xf>
    <xf numFmtId="0" fontId="55" fillId="16" borderId="51" xfId="0" applyFont="1" applyFill="1" applyBorder="1" applyAlignment="1">
      <alignment horizontal="center" vertical="center"/>
    </xf>
    <xf numFmtId="0" fontId="3" fillId="16" borderId="0" xfId="0" applyFont="1" applyFill="1"/>
    <xf numFmtId="14" fontId="6" fillId="16" borderId="56" xfId="0" applyNumberFormat="1" applyFont="1" applyFill="1" applyBorder="1" applyAlignment="1">
      <alignment horizontal="center" vertical="center"/>
    </xf>
    <xf numFmtId="14" fontId="6" fillId="16" borderId="57" xfId="0" applyNumberFormat="1" applyFont="1" applyFill="1" applyBorder="1" applyAlignment="1">
      <alignment horizontal="center" vertical="center"/>
    </xf>
    <xf numFmtId="0" fontId="7" fillId="16" borderId="38" xfId="0" applyFont="1" applyFill="1" applyBorder="1" applyAlignment="1">
      <alignment horizontal="center" vertical="center"/>
    </xf>
    <xf numFmtId="0" fontId="7" fillId="16" borderId="39" xfId="0" applyFont="1" applyFill="1" applyBorder="1" applyAlignment="1">
      <alignment horizontal="center" vertical="center"/>
    </xf>
    <xf numFmtId="1" fontId="18" fillId="16" borderId="8" xfId="0" applyNumberFormat="1" applyFont="1" applyFill="1" applyBorder="1" applyAlignment="1">
      <alignment horizontal="center" vertical="center"/>
    </xf>
    <xf numFmtId="0" fontId="18" fillId="16" borderId="0" xfId="0" applyFont="1" applyFill="1" applyAlignment="1" applyProtection="1">
      <alignment horizontal="left" vertical="center"/>
      <protection hidden="1"/>
    </xf>
    <xf numFmtId="0" fontId="49" fillId="16" borderId="0" xfId="0" applyFont="1" applyFill="1" applyAlignment="1" applyProtection="1">
      <alignment vertical="center"/>
      <protection hidden="1"/>
    </xf>
    <xf numFmtId="0" fontId="18" fillId="16" borderId="0" xfId="0" applyFont="1" applyFill="1" applyAlignment="1" applyProtection="1">
      <alignment vertical="center"/>
      <protection hidden="1"/>
    </xf>
    <xf numFmtId="49" fontId="18" fillId="16" borderId="0" xfId="0" applyNumberFormat="1" applyFont="1" applyFill="1" applyAlignment="1" applyProtection="1">
      <alignment vertical="center"/>
      <protection hidden="1"/>
    </xf>
    <xf numFmtId="0" fontId="18" fillId="16" borderId="28" xfId="0" applyFont="1" applyFill="1" applyBorder="1" applyAlignment="1" applyProtection="1">
      <alignment horizontal="left" vertical="center"/>
      <protection hidden="1"/>
    </xf>
    <xf numFmtId="0" fontId="7" fillId="16" borderId="0" xfId="0" applyFont="1" applyFill="1" applyAlignment="1" applyProtection="1">
      <alignment vertical="top"/>
      <protection hidden="1"/>
    </xf>
    <xf numFmtId="0" fontId="3" fillId="16" borderId="0" xfId="0" applyFont="1" applyFill="1" applyAlignment="1" applyProtection="1">
      <alignment vertical="top"/>
      <protection hidden="1"/>
    </xf>
    <xf numFmtId="0" fontId="0" fillId="16" borderId="0" xfId="0" applyFill="1" applyAlignment="1" applyProtection="1">
      <alignment vertical="center"/>
      <protection hidden="1"/>
    </xf>
    <xf numFmtId="0" fontId="0" fillId="16" borderId="0" xfId="0" applyFill="1" applyProtection="1">
      <protection hidden="1"/>
    </xf>
    <xf numFmtId="0" fontId="3" fillId="16" borderId="0" xfId="0" applyFont="1" applyFill="1" applyAlignment="1" applyProtection="1">
      <alignment horizontal="center" vertical="center"/>
      <protection hidden="1"/>
    </xf>
    <xf numFmtId="0" fontId="3" fillId="16" borderId="0" xfId="0" applyFont="1" applyFill="1" applyProtection="1">
      <protection hidden="1"/>
    </xf>
    <xf numFmtId="0" fontId="3" fillId="16" borderId="0" xfId="0" applyFont="1" applyFill="1" applyAlignment="1" applyProtection="1">
      <alignment vertical="center"/>
      <protection hidden="1"/>
    </xf>
    <xf numFmtId="0" fontId="6" fillId="0" borderId="49" xfId="0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0" fontId="10" fillId="0" borderId="0" xfId="0" applyFont="1" applyAlignment="1">
      <alignment vertical="top"/>
    </xf>
    <xf numFmtId="49" fontId="25" fillId="0" borderId="0" xfId="0" applyNumberFormat="1" applyFont="1" applyAlignment="1">
      <alignment vertical="top"/>
    </xf>
    <xf numFmtId="0" fontId="18" fillId="0" borderId="0" xfId="0" applyFont="1" applyAlignment="1"/>
    <xf numFmtId="0" fontId="25" fillId="0" borderId="0" xfId="0" applyFont="1" applyAlignment="1"/>
    <xf numFmtId="0" fontId="52" fillId="15" borderId="8" xfId="0" applyFont="1" applyFill="1" applyBorder="1" applyAlignment="1" applyProtection="1">
      <alignment horizontal="center" vertical="center"/>
      <protection locked="0"/>
    </xf>
    <xf numFmtId="0" fontId="52" fillId="14" borderId="8" xfId="0" applyFont="1" applyFill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2" fillId="16" borderId="0" xfId="0" applyFont="1" applyFill="1" applyBorder="1" applyAlignment="1" applyProtection="1">
      <alignment horizontal="center" vertical="center"/>
      <protection locked="0"/>
    </xf>
    <xf numFmtId="0" fontId="52" fillId="17" borderId="8" xfId="0" applyFont="1" applyFill="1" applyBorder="1" applyAlignment="1" applyProtection="1">
      <alignment horizontal="center" vertical="center"/>
      <protection locked="0"/>
    </xf>
    <xf numFmtId="0" fontId="55" fillId="18" borderId="8" xfId="0" applyFont="1" applyFill="1" applyBorder="1" applyAlignment="1" applyProtection="1">
      <alignment horizontal="center" vertical="center"/>
      <protection locked="0"/>
    </xf>
    <xf numFmtId="0" fontId="54" fillId="19" borderId="8" xfId="0" applyFont="1" applyFill="1" applyBorder="1" applyAlignment="1" applyProtection="1">
      <alignment horizontal="center" vertical="center"/>
      <protection locked="0"/>
    </xf>
    <xf numFmtId="0" fontId="54" fillId="13" borderId="8" xfId="0" applyFont="1" applyFill="1" applyBorder="1" applyAlignment="1" applyProtection="1">
      <alignment horizontal="center" vertical="center"/>
      <protection locked="0"/>
    </xf>
    <xf numFmtId="0" fontId="57" fillId="16" borderId="8" xfId="0" applyFont="1" applyFill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4" fillId="0" borderId="0" xfId="0" applyFont="1" applyAlignment="1" applyProtection="1">
      <alignment horizontal="center" vertical="center"/>
      <protection locked="0"/>
    </xf>
    <xf numFmtId="0" fontId="55" fillId="16" borderId="0" xfId="0" applyFont="1" applyFill="1" applyBorder="1" applyAlignment="1" applyProtection="1">
      <alignment horizontal="center" vertical="center"/>
      <protection locked="0"/>
    </xf>
    <xf numFmtId="49" fontId="50" fillId="16" borderId="0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3" fillId="0" borderId="28" xfId="0" applyNumberFormat="1" applyFont="1" applyBorder="1" applyAlignment="1" applyProtection="1">
      <alignment horizontal="left" vertical="center"/>
      <protection locked="0"/>
    </xf>
    <xf numFmtId="0" fontId="9" fillId="0" borderId="0" xfId="0" applyFont="1" applyAlignment="1">
      <alignment vertical="top"/>
    </xf>
    <xf numFmtId="0" fontId="32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37" fillId="0" borderId="0" xfId="0" applyFont="1" applyAlignment="1">
      <alignment horizontal="left" vertical="top"/>
    </xf>
    <xf numFmtId="0" fontId="37" fillId="0" borderId="0" xfId="0" applyFont="1" applyAlignment="1">
      <alignment horizontal="center" vertical="top"/>
    </xf>
    <xf numFmtId="0" fontId="36" fillId="0" borderId="0" xfId="0" applyFont="1" applyAlignment="1">
      <alignment vertical="top"/>
    </xf>
    <xf numFmtId="0" fontId="36" fillId="0" borderId="0" xfId="0" applyFont="1" applyAlignment="1">
      <alignment horizontal="center" vertical="top"/>
    </xf>
    <xf numFmtId="0" fontId="31" fillId="0" borderId="0" xfId="0" applyFont="1" applyAlignment="1">
      <alignment horizontal="left" vertical="top"/>
    </xf>
    <xf numFmtId="0" fontId="3" fillId="16" borderId="0" xfId="0" applyFont="1" applyFill="1" applyAlignment="1">
      <alignment vertical="top"/>
    </xf>
    <xf numFmtId="49" fontId="31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0" fontId="18" fillId="0" borderId="0" xfId="0" applyFont="1" applyBorder="1" applyAlignment="1">
      <alignment vertical="center"/>
    </xf>
    <xf numFmtId="1" fontId="18" fillId="16" borderId="22" xfId="0" applyNumberFormat="1" applyFont="1" applyFill="1" applyBorder="1" applyAlignment="1">
      <alignment horizontal="center" vertical="center"/>
    </xf>
    <xf numFmtId="1" fontId="55" fillId="16" borderId="22" xfId="0" applyNumberFormat="1" applyFont="1" applyFill="1" applyBorder="1" applyAlignment="1">
      <alignment horizontal="center" vertical="center"/>
    </xf>
    <xf numFmtId="1" fontId="55" fillId="16" borderId="6" xfId="0" applyNumberFormat="1" applyFont="1" applyFill="1" applyBorder="1" applyAlignment="1">
      <alignment horizontal="center" vertical="center"/>
    </xf>
    <xf numFmtId="0" fontId="56" fillId="0" borderId="0" xfId="0" applyFont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horizontal="center" vertical="center"/>
      <protection hidden="1"/>
    </xf>
    <xf numFmtId="0" fontId="18" fillId="0" borderId="0" xfId="0" applyFont="1" applyBorder="1" applyAlignment="1" applyProtection="1">
      <alignment horizontal="center" vertical="center"/>
      <protection locked="0"/>
    </xf>
    <xf numFmtId="0" fontId="18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21" xfId="0" applyFont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5" fillId="7" borderId="2" xfId="0" applyFont="1" applyFill="1" applyBorder="1" applyAlignment="1">
      <alignment horizontal="center" vertical="center"/>
    </xf>
    <xf numFmtId="0" fontId="43" fillId="6" borderId="23" xfId="0" applyFont="1" applyFill="1" applyBorder="1" applyAlignment="1" applyProtection="1">
      <alignment horizontal="center" vertical="center"/>
      <protection locked="0"/>
    </xf>
    <xf numFmtId="0" fontId="43" fillId="6" borderId="24" xfId="0" applyFont="1" applyFill="1" applyBorder="1" applyAlignment="1" applyProtection="1">
      <alignment horizontal="center" vertical="center"/>
      <protection locked="0"/>
    </xf>
    <xf numFmtId="0" fontId="43" fillId="6" borderId="25" xfId="0" applyFont="1" applyFill="1" applyBorder="1" applyAlignment="1" applyProtection="1">
      <alignment horizontal="center" vertical="center"/>
      <protection locked="0"/>
    </xf>
    <xf numFmtId="0" fontId="5" fillId="7" borderId="23" xfId="0" applyFont="1" applyFill="1" applyBorder="1" applyAlignment="1">
      <alignment horizontal="center" vertical="center"/>
    </xf>
    <xf numFmtId="0" fontId="5" fillId="7" borderId="24" xfId="0" applyFont="1" applyFill="1" applyBorder="1" applyAlignment="1">
      <alignment horizontal="center" vertical="center"/>
    </xf>
    <xf numFmtId="0" fontId="5" fillId="7" borderId="25" xfId="0" applyFont="1" applyFill="1" applyBorder="1" applyAlignment="1">
      <alignment horizontal="center" vertical="center"/>
    </xf>
    <xf numFmtId="0" fontId="16" fillId="8" borderId="5" xfId="0" applyFont="1" applyFill="1" applyBorder="1" applyAlignment="1" applyProtection="1">
      <alignment horizontal="center" vertical="center"/>
      <protection locked="0" hidden="1"/>
    </xf>
    <xf numFmtId="0" fontId="16" fillId="8" borderId="22" xfId="0" applyFont="1" applyFill="1" applyBorder="1" applyAlignment="1" applyProtection="1">
      <alignment horizontal="center" vertical="center"/>
      <protection locked="0" hidden="1"/>
    </xf>
    <xf numFmtId="0" fontId="16" fillId="8" borderId="6" xfId="0" applyFont="1" applyFill="1" applyBorder="1" applyAlignment="1" applyProtection="1">
      <alignment horizontal="center" vertical="center"/>
      <protection locked="0" hidden="1"/>
    </xf>
    <xf numFmtId="0" fontId="16" fillId="8" borderId="3" xfId="0" applyFont="1" applyFill="1" applyBorder="1" applyAlignment="1" applyProtection="1">
      <alignment horizontal="center" vertical="center"/>
      <protection locked="0" hidden="1"/>
    </xf>
    <xf numFmtId="0" fontId="16" fillId="8" borderId="8" xfId="0" applyFont="1" applyFill="1" applyBorder="1" applyAlignment="1" applyProtection="1">
      <alignment horizontal="center" vertical="center"/>
      <protection locked="0" hidden="1"/>
    </xf>
    <xf numFmtId="0" fontId="16" fillId="8" borderId="4" xfId="0" applyFont="1" applyFill="1" applyBorder="1" applyAlignment="1" applyProtection="1">
      <alignment horizontal="center" vertical="center"/>
      <protection locked="0" hidden="1"/>
    </xf>
    <xf numFmtId="0" fontId="28" fillId="0" borderId="0" xfId="0" applyFont="1" applyAlignment="1" applyProtection="1">
      <alignment horizontal="center" vertical="center"/>
      <protection hidden="1"/>
    </xf>
    <xf numFmtId="0" fontId="16" fillId="8" borderId="26" xfId="0" applyFont="1" applyFill="1" applyBorder="1" applyAlignment="1" applyProtection="1">
      <alignment horizontal="center" vertical="center"/>
      <protection locked="0" hidden="1"/>
    </xf>
    <xf numFmtId="0" fontId="16" fillId="8" borderId="12" xfId="0" applyFont="1" applyFill="1" applyBorder="1" applyAlignment="1" applyProtection="1">
      <alignment horizontal="center" vertical="center"/>
      <protection locked="0" hidden="1"/>
    </xf>
    <xf numFmtId="0" fontId="16" fillId="8" borderId="27" xfId="0" applyFont="1" applyFill="1" applyBorder="1" applyAlignment="1" applyProtection="1">
      <alignment horizontal="center" vertical="center"/>
      <protection locked="0" hidden="1"/>
    </xf>
    <xf numFmtId="14" fontId="24" fillId="0" borderId="9" xfId="0" applyNumberFormat="1" applyFont="1" applyBorder="1" applyAlignment="1" applyProtection="1">
      <alignment horizontal="left" vertical="center"/>
      <protection locked="0"/>
    </xf>
    <xf numFmtId="0" fontId="24" fillId="0" borderId="9" xfId="0" applyFont="1" applyBorder="1" applyAlignment="1" applyProtection="1">
      <alignment horizontal="left" vertical="center"/>
      <protection locked="0"/>
    </xf>
    <xf numFmtId="0" fontId="16" fillId="0" borderId="32" xfId="0" applyFont="1" applyBorder="1" applyAlignment="1" applyProtection="1">
      <alignment horizontal="center" vertical="center"/>
      <protection hidden="1"/>
    </xf>
    <xf numFmtId="0" fontId="16" fillId="0" borderId="28" xfId="0" applyFont="1" applyBorder="1" applyAlignment="1" applyProtection="1">
      <alignment horizontal="center" vertical="center"/>
      <protection hidden="1"/>
    </xf>
    <xf numFmtId="0" fontId="10" fillId="8" borderId="19" xfId="0" applyFont="1" applyFill="1" applyBorder="1" applyAlignment="1" applyProtection="1">
      <alignment horizontal="center" vertical="center"/>
      <protection locked="0"/>
    </xf>
    <xf numFmtId="0" fontId="10" fillId="8" borderId="15" xfId="0" applyFont="1" applyFill="1" applyBorder="1" applyAlignment="1" applyProtection="1">
      <alignment horizontal="center" vertical="center"/>
      <protection locked="0"/>
    </xf>
    <xf numFmtId="0" fontId="10" fillId="8" borderId="20" xfId="0" applyFont="1" applyFill="1" applyBorder="1" applyAlignment="1" applyProtection="1">
      <alignment horizontal="center" vertical="center"/>
      <protection locked="0"/>
    </xf>
    <xf numFmtId="0" fontId="10" fillId="8" borderId="5" xfId="0" applyFont="1" applyFill="1" applyBorder="1" applyAlignment="1" applyProtection="1">
      <alignment horizontal="center" vertical="center"/>
      <protection locked="0"/>
    </xf>
    <xf numFmtId="0" fontId="10" fillId="8" borderId="22" xfId="0" applyFont="1" applyFill="1" applyBorder="1" applyAlignment="1" applyProtection="1">
      <alignment horizontal="center" vertical="center"/>
      <protection locked="0"/>
    </xf>
    <xf numFmtId="0" fontId="10" fillId="8" borderId="6" xfId="0" applyFont="1" applyFill="1" applyBorder="1" applyAlignment="1" applyProtection="1">
      <alignment horizontal="center" vertical="center"/>
      <protection locked="0"/>
    </xf>
    <xf numFmtId="0" fontId="19" fillId="9" borderId="23" xfId="0" applyFont="1" applyFill="1" applyBorder="1" applyAlignment="1" applyProtection="1">
      <alignment horizontal="center" vertical="center"/>
      <protection hidden="1"/>
    </xf>
    <xf numFmtId="0" fontId="19" fillId="9" borderId="24" xfId="0" applyFont="1" applyFill="1" applyBorder="1" applyAlignment="1" applyProtection="1">
      <alignment horizontal="center" vertical="center"/>
      <protection hidden="1"/>
    </xf>
    <xf numFmtId="0" fontId="19" fillId="9" borderId="25" xfId="0" applyFont="1" applyFill="1" applyBorder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horizontal="center" vertical="center"/>
      <protection hidden="1"/>
    </xf>
    <xf numFmtId="0" fontId="24" fillId="0" borderId="52" xfId="0" applyFont="1" applyBorder="1" applyAlignment="1" applyProtection="1">
      <alignment horizontal="left" vertical="center"/>
      <protection locked="0"/>
    </xf>
    <xf numFmtId="0" fontId="18" fillId="0" borderId="9" xfId="0" applyFont="1" applyBorder="1" applyAlignment="1" applyProtection="1">
      <alignment horizontal="left" vertical="center"/>
      <protection hidden="1"/>
    </xf>
    <xf numFmtId="14" fontId="23" fillId="0" borderId="9" xfId="0" applyNumberFormat="1" applyFont="1" applyBorder="1" applyAlignment="1" applyProtection="1">
      <alignment horizontal="left" vertical="center"/>
      <protection hidden="1"/>
    </xf>
    <xf numFmtId="0" fontId="23" fillId="0" borderId="9" xfId="0" applyFont="1" applyBorder="1" applyAlignment="1" applyProtection="1">
      <alignment horizontal="left" vertical="center"/>
      <protection hidden="1"/>
    </xf>
    <xf numFmtId="0" fontId="25" fillId="0" borderId="0" xfId="0" applyFont="1" applyAlignment="1" applyProtection="1">
      <alignment horizontal="left" vertical="center"/>
      <protection hidden="1"/>
    </xf>
    <xf numFmtId="14" fontId="49" fillId="0" borderId="9" xfId="0" applyNumberFormat="1" applyFont="1" applyBorder="1" applyAlignment="1" applyProtection="1">
      <alignment horizontal="left" vertical="center"/>
      <protection locked="0"/>
    </xf>
    <xf numFmtId="14" fontId="24" fillId="0" borderId="52" xfId="0" applyNumberFormat="1" applyFont="1" applyBorder="1" applyAlignment="1" applyProtection="1">
      <alignment horizontal="left" vertical="center"/>
      <protection locked="0"/>
    </xf>
    <xf numFmtId="49" fontId="18" fillId="0" borderId="9" xfId="0" applyNumberFormat="1" applyFont="1" applyBorder="1" applyAlignment="1" applyProtection="1">
      <alignment horizontal="left" vertical="center"/>
      <protection locked="0"/>
    </xf>
    <xf numFmtId="0" fontId="21" fillId="20" borderId="23" xfId="0" applyFont="1" applyFill="1" applyBorder="1" applyAlignment="1">
      <alignment horizontal="center" vertical="center"/>
    </xf>
    <xf numFmtId="0" fontId="21" fillId="20" borderId="24" xfId="0" applyFont="1" applyFill="1" applyBorder="1" applyAlignment="1">
      <alignment horizontal="center" vertical="center"/>
    </xf>
    <xf numFmtId="0" fontId="21" fillId="20" borderId="2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top"/>
    </xf>
    <xf numFmtId="14" fontId="6" fillId="0" borderId="18" xfId="0" applyNumberFormat="1" applyFont="1" applyBorder="1" applyAlignment="1">
      <alignment horizontal="left"/>
    </xf>
    <xf numFmtId="14" fontId="6" fillId="0" borderId="40" xfId="0" applyNumberFormat="1" applyFont="1" applyBorder="1" applyAlignment="1">
      <alignment horizontal="left"/>
    </xf>
    <xf numFmtId="14" fontId="54" fillId="19" borderId="56" xfId="0" applyNumberFormat="1" applyFont="1" applyFill="1" applyBorder="1" applyAlignment="1">
      <alignment horizontal="center" vertical="center"/>
    </xf>
    <xf numFmtId="14" fontId="54" fillId="19" borderId="57" xfId="0" applyNumberFormat="1" applyFont="1" applyFill="1" applyBorder="1" applyAlignment="1">
      <alignment horizontal="center" vertical="center"/>
    </xf>
    <xf numFmtId="14" fontId="54" fillId="13" borderId="58" xfId="0" applyNumberFormat="1" applyFont="1" applyFill="1" applyBorder="1" applyAlignment="1">
      <alignment horizontal="center" vertical="center"/>
    </xf>
    <xf numFmtId="14" fontId="54" fillId="13" borderId="59" xfId="0" applyNumberFormat="1" applyFont="1" applyFill="1" applyBorder="1" applyAlignment="1">
      <alignment horizontal="center" vertical="center"/>
    </xf>
  </cellXfs>
  <cellStyles count="9">
    <cellStyle name="BgrGreenTextWhite" xfId="4" xr:uid="{00000000-0005-0000-0000-000000000000}"/>
    <cellStyle name="ES_WhiteOnGreen" xfId="8" xr:uid="{00000000-0005-0000-0000-000001000000}"/>
    <cellStyle name="Notiz 2" xfId="1" xr:uid="{00000000-0005-0000-0000-000002000000}"/>
    <cellStyle name="Prozent 2" xfId="2" xr:uid="{00000000-0005-0000-0000-000003000000}"/>
    <cellStyle name="Standard" xfId="0" builtinId="0"/>
    <cellStyle name="Standard 2" xfId="3" xr:uid="{00000000-0005-0000-0000-000005000000}"/>
    <cellStyle name="WeissAufGruen" xfId="5" xr:uid="{00000000-0005-0000-0000-000006000000}"/>
    <cellStyle name="WhiteOnGreen" xfId="6" xr:uid="{00000000-0005-0000-0000-000007000000}"/>
    <cellStyle name="WhiteOnRed" xfId="7" xr:uid="{00000000-0005-0000-0000-000008000000}"/>
  </cellStyles>
  <dxfs count="623"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theme="1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numFmt numFmtId="0" formatCode="General"/>
      <fill>
        <patternFill>
          <fgColor auto="1"/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theme="0"/>
      </font>
      <fill>
        <patternFill>
          <bgColor theme="0"/>
        </patternFill>
      </fill>
    </dxf>
    <dxf>
      <font>
        <b val="0"/>
        <i val="0"/>
        <strike val="0"/>
        <color rgb="FF00B050"/>
      </font>
      <fill>
        <patternFill>
          <bgColor rgb="FF00B050"/>
        </patternFill>
      </fill>
    </dxf>
    <dxf>
      <font>
        <b val="0"/>
        <i val="0"/>
        <strike val="0"/>
        <color rgb="FFFF0000"/>
      </font>
      <numFmt numFmtId="0" formatCode="General"/>
      <fill>
        <patternFill>
          <fgColor auto="1"/>
          <bgColor rgb="FFFF0000"/>
        </patternFill>
      </fill>
    </dxf>
    <dxf>
      <font>
        <b val="0"/>
        <i val="0"/>
        <strike val="0"/>
        <color theme="0"/>
      </font>
      <numFmt numFmtId="0" formatCode="General"/>
      <fill>
        <patternFill>
          <fgColor auto="1"/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4"/>
      </font>
      <fill>
        <patternFill patternType="none">
          <bgColor auto="1"/>
        </patternFill>
      </fill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color theme="1"/>
      </font>
      <fill>
        <patternFill>
          <bgColor theme="5"/>
        </patternFill>
      </fill>
    </dxf>
    <dxf>
      <font>
        <b/>
        <i val="0"/>
      </font>
      <fill>
        <patternFill>
          <bgColor theme="6" tint="0.79998168889431442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ill>
        <patternFill>
          <bgColor rgb="FFC6D9F1"/>
        </patternFill>
      </fill>
    </dxf>
    <dxf>
      <fill>
        <patternFill>
          <bgColor rgb="FFFCD5B5"/>
        </patternFill>
      </fill>
    </dxf>
    <dxf>
      <font>
        <b/>
        <i val="0"/>
        <strike val="0"/>
        <color theme="0"/>
        <name val="Arial (Textkörper)"/>
      </font>
    </dxf>
    <dxf>
      <alignment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color auto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6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border diagonalUp="0" diagonalDown="0">
        <left/>
        <right/>
        <bottom/>
      </border>
    </dxf>
    <dxf>
      <font>
        <strike val="0"/>
        <outline val="0"/>
        <shadow val="0"/>
        <u val="none"/>
        <vertAlign val="baseline"/>
        <sz val="16"/>
        <color auto="1"/>
        <name val="Arial"/>
        <scheme val="none"/>
      </font>
      <alignment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D4"/>
      <rgbColor rgb="FFFFFF00"/>
      <rgbColor rgb="FFFF00FF"/>
      <rgbColor rgb="FF00FFFF"/>
      <rgbColor rgb="FF800000"/>
      <rgbColor rgb="FF00A933"/>
      <rgbColor rgb="FF000080"/>
      <rgbColor rgb="FF808000"/>
      <rgbColor rgb="FF800080"/>
      <rgbColor rgb="FF008080"/>
      <rgbColor rgb="FFB2B2B2"/>
      <rgbColor rgb="FF808080"/>
      <rgbColor rgb="FF9999FF"/>
      <rgbColor rgb="FF993366"/>
      <rgbColor rgb="FFFFFFCC"/>
      <rgbColor rgb="FFF2F2F2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DEADA"/>
      <rgbColor rgb="FFD9D9D9"/>
      <rgbColor rgb="FFE8F2A1"/>
      <rgbColor rgb="FF99CCFF"/>
      <rgbColor rgb="FFFF99CC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300"/>
      <color rgb="FFFDD5B6"/>
      <color rgb="FFD37A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1114507</xdr:colOff>
      <xdr:row>83</xdr:row>
      <xdr:rowOff>251760</xdr:rowOff>
    </xdr:from>
    <xdr:to>
      <xdr:col>18</xdr:col>
      <xdr:colOff>0</xdr:colOff>
      <xdr:row>83</xdr:row>
      <xdr:rowOff>252120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Freihand 1">
              <a:extLst>
                <a:ext uri="{FF2B5EF4-FFF2-40B4-BE49-F238E27FC236}">
                  <a16:creationId xmlns:a16="http://schemas.microsoft.com/office/drawing/2014/main" id="{62BAE0BF-A2E3-1197-7690-C7BE9019164C}"/>
                </a:ext>
              </a:extLst>
            </xdr14:cNvPr>
            <xdr14:cNvContentPartPr/>
          </xdr14:nvContentPartPr>
          <xdr14:nvPr macro=""/>
          <xdr14:xfrm>
            <a:off x="24209831" y="31000701"/>
            <a:ext cx="360" cy="360"/>
          </xdr14:xfrm>
        </xdr:contentPart>
      </mc:Choice>
      <mc:Fallback xmlns="">
        <xdr:pic>
          <xdr:nvPicPr>
            <xdr:cNvPr id="2" name="Freihand 1">
              <a:extLst>
                <a:ext uri="{FF2B5EF4-FFF2-40B4-BE49-F238E27FC236}">
                  <a16:creationId xmlns:a16="http://schemas.microsoft.com/office/drawing/2014/main" id="{62BAE0BF-A2E3-1197-7690-C7BE9019164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4203711" y="30994581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30841E2-EEED-4336-AC17-A9C583183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F7F9D41-47DB-4D83-A7E7-E20CBD23A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AA94956-5C9B-2D40-BB2E-43B4122EA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34833" y="18143"/>
          <a:ext cx="2501447" cy="139086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88A04749-8F5B-4E3C-943D-D418CF0D3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674C96A-171B-4368-BBCC-38AF0C6E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AA24FCF-0B64-4BCF-BB01-AA2CC4FC6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82353E55-4F73-43D0-B946-8B1BB1B39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712EE262-8114-4128-A097-097AD1D89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A8FFCDA-EC56-445E-8118-2E1D46194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DF78D4D7-B132-4E52-A842-7ACC70111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710F4D75-FBC7-44DB-8EDF-ACCBAE460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690690</xdr:colOff>
      <xdr:row>0</xdr:row>
      <xdr:rowOff>18143</xdr:rowOff>
    </xdr:from>
    <xdr:to>
      <xdr:col>37</xdr:col>
      <xdr:colOff>125994</xdr:colOff>
      <xdr:row>3</xdr:row>
      <xdr:rowOff>102718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27EB2348-2CA4-4E1F-AE4D-213208CAA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2890" y="18143"/>
          <a:ext cx="2496004" cy="1392675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1-05T20:14:39.294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1 0 32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Mitarbeiter" displayName="tblMitarbeiter" ref="D8:G84" headerRowDxfId="622" dataDxfId="621" totalsRowDxfId="619" tableBorderDxfId="620">
  <autoFilter ref="D8:G84" xr:uid="{00000000-0009-0000-0100-000004000000}"/>
  <sortState xmlns:xlrd2="http://schemas.microsoft.com/office/spreadsheetml/2017/richdata2" ref="D9:G84">
    <sortCondition ref="D8:D84"/>
  </sortState>
  <tableColumns count="4">
    <tableColumn id="2" xr3:uid="{00000000-0010-0000-0000-000002000000}" name="Sortierung" dataDxfId="618" totalsRowDxfId="617"/>
    <tableColumn id="3" xr3:uid="{00000000-0010-0000-0000-000003000000}" name="Mitarbeiter" totalsRowFunction="count" dataDxfId="616"/>
    <tableColumn id="5" xr3:uid="{00000000-0010-0000-0000-000005000000}" name="PersonalNr" dataDxfId="615" totalsRowDxfId="614"/>
    <tableColumn id="1" xr3:uid="{00000000-0010-0000-0000-000001000000}" name="Urlaubstage" dataDxfId="613" totalsRowDxfId="612"/>
  </tableColumns>
  <tableStyleInfo name="TableStyleMedium2" showFirstColumn="0" showLastColumn="1" showRowStripes="1" showColumnStripes="0"/>
</table>
</file>

<file path=xl/theme/theme1.xml><?xml version="1.0" encoding="utf-8"?>
<a:theme xmlns:a="http://schemas.openxmlformats.org/drawingml/2006/main" name="Office">
  <a:themeElements>
    <a:clrScheme name="Grü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blEinstellungen">
    <tabColor rgb="FFFF0000"/>
  </sheetPr>
  <dimension ref="A1:AH149"/>
  <sheetViews>
    <sheetView showGridLines="0" tabSelected="1" zoomScale="70" zoomScaleNormal="70" workbookViewId="0">
      <selection activeCell="G26" sqref="G26"/>
    </sheetView>
  </sheetViews>
  <sheetFormatPr baseColWidth="10" defaultColWidth="11.36328125" defaultRowHeight="12.5" x14ac:dyDescent="0.25"/>
  <cols>
    <col min="1" max="1" width="35.36328125" style="3" customWidth="1"/>
    <col min="2" max="2" width="21.36328125" style="3" customWidth="1"/>
    <col min="3" max="3" width="10.36328125" style="3" customWidth="1"/>
    <col min="4" max="4" width="19.1796875" style="3" customWidth="1"/>
    <col min="5" max="5" width="34.81640625" style="3" customWidth="1"/>
    <col min="6" max="6" width="23.36328125" style="3" customWidth="1"/>
    <col min="7" max="7" width="26.36328125" style="3" customWidth="1"/>
    <col min="8" max="8" width="12" style="3" customWidth="1"/>
    <col min="9" max="9" width="10.81640625" style="3" customWidth="1"/>
    <col min="10" max="10" width="14.453125" style="3" customWidth="1"/>
    <col min="11" max="11" width="10.81640625" style="3" customWidth="1"/>
    <col min="12" max="15" width="10.36328125" style="3" customWidth="1"/>
    <col min="16" max="16" width="23.36328125" style="3" customWidth="1"/>
    <col min="17" max="17" width="10.36328125" style="3" customWidth="1"/>
    <col min="18" max="18" width="13" style="3" customWidth="1"/>
    <col min="19" max="19" width="32.36328125" style="3" hidden="1" customWidth="1"/>
    <col min="20" max="20" width="10.1796875" style="3" customWidth="1"/>
    <col min="21" max="29" width="10.36328125" style="3" customWidth="1"/>
    <col min="30" max="32" width="11.36328125" style="3" hidden="1"/>
    <col min="33" max="34" width="10.36328125" style="3" hidden="1" customWidth="1"/>
    <col min="35" max="65" width="10.36328125" style="3" customWidth="1"/>
    <col min="66" max="16384" width="11.36328125" style="3"/>
  </cols>
  <sheetData>
    <row r="1" spans="1:19" x14ac:dyDescent="0.25">
      <c r="A1" s="30">
        <v>30</v>
      </c>
    </row>
    <row r="2" spans="1:19" ht="13" thickBot="1" x14ac:dyDescent="0.3"/>
    <row r="3" spans="1:19" ht="44.25" customHeight="1" thickBot="1" x14ac:dyDescent="0.3">
      <c r="A3" s="1" t="s">
        <v>37</v>
      </c>
      <c r="B3" s="61">
        <v>2025</v>
      </c>
      <c r="D3" s="1" t="s">
        <v>38</v>
      </c>
      <c r="E3" s="236" t="s">
        <v>71</v>
      </c>
      <c r="F3" s="237"/>
      <c r="G3" s="238"/>
      <c r="H3" s="146"/>
      <c r="I3" s="232" t="s">
        <v>39</v>
      </c>
      <c r="J3" s="233"/>
      <c r="K3" s="236" t="s">
        <v>70</v>
      </c>
      <c r="L3" s="237"/>
      <c r="M3" s="238"/>
    </row>
    <row r="4" spans="1:19" x14ac:dyDescent="0.25">
      <c r="D4" s="23"/>
    </row>
    <row r="5" spans="1:19" x14ac:dyDescent="0.25">
      <c r="D5" s="23"/>
    </row>
    <row r="6" spans="1:19" ht="13" thickBot="1" x14ac:dyDescent="0.3">
      <c r="D6" s="23"/>
    </row>
    <row r="7" spans="1:19" ht="33" thickBot="1" x14ac:dyDescent="0.3">
      <c r="A7" s="235" t="s">
        <v>0</v>
      </c>
      <c r="B7" s="235"/>
      <c r="D7" s="239" t="s">
        <v>19</v>
      </c>
      <c r="E7" s="240"/>
      <c r="F7" s="240"/>
      <c r="G7" s="241"/>
      <c r="I7" s="76" t="str">
        <f>"Offizielle Version mit " &amp; A1 &amp; " Zeilen für Zeitverwaltungsprogramm 1.0.0.7"</f>
        <v>Offizielle Version mit 30 Zeilen für Zeitverwaltungsprogramm 1.0.0.7</v>
      </c>
    </row>
    <row r="8" spans="1:19" ht="30" customHeight="1" x14ac:dyDescent="0.25">
      <c r="A8" s="139" t="s">
        <v>1</v>
      </c>
      <c r="B8" s="140">
        <f>DATE(B3,1,1)</f>
        <v>45658</v>
      </c>
      <c r="D8" s="65" t="s">
        <v>23</v>
      </c>
      <c r="E8" s="19" t="s">
        <v>19</v>
      </c>
      <c r="F8" s="65" t="s">
        <v>31</v>
      </c>
      <c r="G8" s="65" t="s">
        <v>53</v>
      </c>
      <c r="H8" s="11"/>
      <c r="I8" s="77" t="s">
        <v>16</v>
      </c>
      <c r="S8" s="149" t="s">
        <v>67</v>
      </c>
    </row>
    <row r="9" spans="1:19" ht="30" customHeight="1" thickBot="1" x14ac:dyDescent="0.3">
      <c r="A9" s="141" t="s">
        <v>2</v>
      </c>
      <c r="B9" s="142">
        <f>DATE(B3,1,6)</f>
        <v>45663</v>
      </c>
      <c r="D9" s="66">
        <v>1</v>
      </c>
      <c r="E9" s="67" t="s">
        <v>72</v>
      </c>
      <c r="F9" s="66">
        <v>111</v>
      </c>
      <c r="G9" s="66">
        <v>0</v>
      </c>
      <c r="H9" s="18"/>
      <c r="I9" s="25"/>
      <c r="J9" s="78"/>
      <c r="K9" s="78"/>
      <c r="L9" s="78"/>
      <c r="M9" s="78"/>
      <c r="N9" s="78"/>
      <c r="O9" s="78"/>
      <c r="P9" s="78"/>
      <c r="S9" s="148" t="str">
        <f t="array" ref="S9:S84">IFERROR(INDEX(Einstellungen!$E$9:$E$84,MATCH(SMALL(IF(ISTEXT(Einstellungen!$E$9:$E$84),Einstellungen!$D$9:$D$84),ROW()-8),Einstellungen!$D$9:$D$84,0))," ")</f>
        <v>Dömpke</v>
      </c>
    </row>
    <row r="10" spans="1:19" ht="30" customHeight="1" x14ac:dyDescent="0.25">
      <c r="A10" s="141" t="s">
        <v>3</v>
      </c>
      <c r="B10" s="142">
        <f>B11-2</f>
        <v>45765</v>
      </c>
      <c r="D10" s="66">
        <v>2</v>
      </c>
      <c r="E10" s="67" t="s">
        <v>73</v>
      </c>
      <c r="F10" s="66">
        <v>222</v>
      </c>
      <c r="G10" s="66">
        <v>0</v>
      </c>
      <c r="H10" s="18"/>
      <c r="I10" s="80" t="s">
        <v>40</v>
      </c>
      <c r="J10" s="81"/>
      <c r="K10" s="81"/>
      <c r="L10" s="81"/>
      <c r="M10" s="81"/>
      <c r="N10" s="81"/>
      <c r="O10" s="81"/>
      <c r="P10" s="82"/>
      <c r="S10" s="148" t="str">
        <v>Lonskowski</v>
      </c>
    </row>
    <row r="11" spans="1:19" ht="30" customHeight="1" x14ac:dyDescent="0.25">
      <c r="A11" s="141" t="s">
        <v>4</v>
      </c>
      <c r="B11" s="142">
        <f>DOLLAR((DAY(MINUTE($B$3/38)/2+55)&amp;".4."&amp;$B$3)/7,)*7-6</f>
        <v>45767</v>
      </c>
      <c r="D11" s="66">
        <v>4</v>
      </c>
      <c r="E11" s="67" t="s">
        <v>74</v>
      </c>
      <c r="F11" s="68" t="s">
        <v>88</v>
      </c>
      <c r="G11" s="66">
        <v>0</v>
      </c>
      <c r="H11" s="18"/>
      <c r="I11" s="83" t="s">
        <v>41</v>
      </c>
      <c r="J11" s="79"/>
      <c r="K11" s="79"/>
      <c r="L11" s="79"/>
      <c r="M11" s="79"/>
      <c r="N11" s="79"/>
      <c r="O11" s="79"/>
      <c r="P11" s="84"/>
      <c r="S11" s="148" t="str">
        <v>Rappe</v>
      </c>
    </row>
    <row r="12" spans="1:19" ht="30" customHeight="1" x14ac:dyDescent="0.25">
      <c r="A12" s="141" t="s">
        <v>5</v>
      </c>
      <c r="B12" s="142">
        <f>B11+1</f>
        <v>45768</v>
      </c>
      <c r="D12" s="66">
        <v>3</v>
      </c>
      <c r="E12" s="67" t="s">
        <v>75</v>
      </c>
      <c r="F12" s="66">
        <v>444</v>
      </c>
      <c r="G12" s="66">
        <v>0</v>
      </c>
      <c r="H12" s="18"/>
      <c r="I12" s="85"/>
      <c r="J12" s="79"/>
      <c r="K12" s="79"/>
      <c r="L12" s="79"/>
      <c r="M12" s="79"/>
      <c r="N12" s="79"/>
      <c r="O12" s="79"/>
      <c r="P12" s="84"/>
      <c r="S12" s="148" t="str">
        <v>Pötter</v>
      </c>
    </row>
    <row r="13" spans="1:19" ht="30" customHeight="1" x14ac:dyDescent="0.25">
      <c r="A13" s="141" t="s">
        <v>6</v>
      </c>
      <c r="B13" s="142">
        <f>DATE(B3,5,1)</f>
        <v>45778</v>
      </c>
      <c r="D13" s="66">
        <v>5</v>
      </c>
      <c r="E13" s="67" t="s">
        <v>76</v>
      </c>
      <c r="F13" s="66">
        <v>555</v>
      </c>
      <c r="G13" s="66">
        <v>0</v>
      </c>
      <c r="H13" s="18"/>
      <c r="I13" s="83" t="s">
        <v>42</v>
      </c>
      <c r="J13" s="79"/>
      <c r="K13" s="79"/>
      <c r="L13" s="79"/>
      <c r="M13" s="79"/>
      <c r="N13" s="79"/>
      <c r="O13" s="79"/>
      <c r="P13" s="84"/>
      <c r="S13" s="148" t="str">
        <v>Tarras</v>
      </c>
    </row>
    <row r="14" spans="1:19" ht="30" customHeight="1" thickBot="1" x14ac:dyDescent="0.3">
      <c r="A14" s="141" t="s">
        <v>7</v>
      </c>
      <c r="B14" s="142">
        <f>B11+39</f>
        <v>45806</v>
      </c>
      <c r="D14" s="66">
        <v>6</v>
      </c>
      <c r="E14" s="67" t="s">
        <v>77</v>
      </c>
      <c r="F14" s="66">
        <v>666</v>
      </c>
      <c r="G14" s="66">
        <v>0</v>
      </c>
      <c r="H14" s="18"/>
      <c r="I14" s="86" t="s">
        <v>43</v>
      </c>
      <c r="J14" s="87"/>
      <c r="K14" s="87"/>
      <c r="L14" s="87"/>
      <c r="M14" s="87"/>
      <c r="N14" s="87"/>
      <c r="O14" s="87"/>
      <c r="P14" s="88"/>
      <c r="S14" s="148" t="str">
        <v>Hidde</v>
      </c>
    </row>
    <row r="15" spans="1:19" ht="30" customHeight="1" thickBot="1" x14ac:dyDescent="0.3">
      <c r="A15" s="141" t="s">
        <v>8</v>
      </c>
      <c r="B15" s="142">
        <f>B11+49</f>
        <v>45816</v>
      </c>
      <c r="D15" s="66">
        <v>7</v>
      </c>
      <c r="E15" s="67" t="s">
        <v>78</v>
      </c>
      <c r="F15" s="66">
        <v>777</v>
      </c>
      <c r="G15" s="66">
        <v>0</v>
      </c>
      <c r="H15" s="18"/>
      <c r="I15" s="78"/>
      <c r="J15" s="78"/>
      <c r="K15" s="78"/>
      <c r="L15" s="78"/>
      <c r="M15" s="78"/>
      <c r="N15" s="78"/>
      <c r="O15" s="78"/>
      <c r="P15" s="78"/>
      <c r="S15" s="148" t="str">
        <v>Päplow</v>
      </c>
    </row>
    <row r="16" spans="1:19" ht="30" customHeight="1" x14ac:dyDescent="0.25">
      <c r="A16" s="141" t="s">
        <v>9</v>
      </c>
      <c r="B16" s="142">
        <f>B11+50</f>
        <v>45817</v>
      </c>
      <c r="D16" s="66">
        <v>8</v>
      </c>
      <c r="E16" s="67" t="s">
        <v>79</v>
      </c>
      <c r="F16" s="66">
        <v>888</v>
      </c>
      <c r="G16" s="66">
        <v>0</v>
      </c>
      <c r="H16" s="18"/>
      <c r="I16" s="80" t="s">
        <v>55</v>
      </c>
      <c r="J16" s="81"/>
      <c r="K16" s="81"/>
      <c r="L16" s="81"/>
      <c r="M16" s="81"/>
      <c r="N16" s="81"/>
      <c r="O16" s="81"/>
      <c r="P16" s="82"/>
      <c r="S16" s="148" t="str">
        <v>Küster</v>
      </c>
    </row>
    <row r="17" spans="1:19" ht="30" customHeight="1" x14ac:dyDescent="0.25">
      <c r="A17" s="141" t="s">
        <v>10</v>
      </c>
      <c r="B17" s="142">
        <f>B11+60</f>
        <v>45827</v>
      </c>
      <c r="D17" s="66">
        <v>9</v>
      </c>
      <c r="E17" s="67" t="s">
        <v>80</v>
      </c>
      <c r="F17" s="66">
        <v>999</v>
      </c>
      <c r="G17" s="66">
        <v>0</v>
      </c>
      <c r="H17" s="18"/>
      <c r="I17" s="83" t="s">
        <v>56</v>
      </c>
      <c r="J17" s="79"/>
      <c r="K17" s="79"/>
      <c r="L17" s="79"/>
      <c r="M17" s="79"/>
      <c r="N17" s="79"/>
      <c r="O17" s="79"/>
      <c r="P17" s="84"/>
      <c r="S17" s="148" t="str">
        <v>Heß</v>
      </c>
    </row>
    <row r="18" spans="1:19" ht="30" customHeight="1" x14ac:dyDescent="0.25">
      <c r="A18" s="141" t="s">
        <v>11</v>
      </c>
      <c r="B18" s="142">
        <f>DATE(B3,8,15)</f>
        <v>45884</v>
      </c>
      <c r="D18" s="66">
        <v>10</v>
      </c>
      <c r="E18" s="67" t="s">
        <v>81</v>
      </c>
      <c r="F18" s="66">
        <v>123</v>
      </c>
      <c r="G18" s="66">
        <v>0</v>
      </c>
      <c r="H18" s="18"/>
      <c r="I18" s="83" t="s">
        <v>57</v>
      </c>
      <c r="J18" s="79"/>
      <c r="K18" s="79"/>
      <c r="L18" s="79"/>
      <c r="M18" s="79"/>
      <c r="N18" s="79"/>
      <c r="O18" s="79"/>
      <c r="P18" s="84"/>
      <c r="S18" s="148" t="str">
        <v>Arndt</v>
      </c>
    </row>
    <row r="19" spans="1:19" ht="30" customHeight="1" x14ac:dyDescent="0.25">
      <c r="A19" s="141" t="s">
        <v>12</v>
      </c>
      <c r="B19" s="142">
        <f>DATE(B3,10,3)</f>
        <v>45933</v>
      </c>
      <c r="D19" s="66">
        <v>11</v>
      </c>
      <c r="E19" s="67" t="s">
        <v>82</v>
      </c>
      <c r="F19" s="66">
        <v>234</v>
      </c>
      <c r="G19" s="66">
        <v>0</v>
      </c>
      <c r="H19" s="18"/>
      <c r="I19" s="83" t="s">
        <v>58</v>
      </c>
      <c r="J19" s="79"/>
      <c r="K19" s="79"/>
      <c r="L19" s="79"/>
      <c r="M19" s="79"/>
      <c r="N19" s="79"/>
      <c r="O19" s="79"/>
      <c r="P19" s="84"/>
      <c r="S19" s="148" t="str">
        <v>Brauer</v>
      </c>
    </row>
    <row r="20" spans="1:19" ht="30" customHeight="1" thickBot="1" x14ac:dyDescent="0.3">
      <c r="A20" s="141" t="s">
        <v>13</v>
      </c>
      <c r="B20" s="142">
        <f>DATE(B3,11,1)</f>
        <v>45962</v>
      </c>
      <c r="D20" s="66">
        <v>12</v>
      </c>
      <c r="E20" s="67" t="s">
        <v>83</v>
      </c>
      <c r="F20" s="66">
        <v>345</v>
      </c>
      <c r="G20" s="66">
        <v>0</v>
      </c>
      <c r="H20" s="18"/>
      <c r="I20" s="86" t="s">
        <v>59</v>
      </c>
      <c r="J20" s="87"/>
      <c r="K20" s="87"/>
      <c r="L20" s="87"/>
      <c r="M20" s="87"/>
      <c r="N20" s="87"/>
      <c r="O20" s="87"/>
      <c r="P20" s="88"/>
      <c r="S20" s="148" t="str">
        <v>Koß</v>
      </c>
    </row>
    <row r="21" spans="1:19" ht="30" customHeight="1" x14ac:dyDescent="0.25">
      <c r="A21" s="141" t="s">
        <v>14</v>
      </c>
      <c r="B21" s="142">
        <f>DATE(B3,12,25)</f>
        <v>46016</v>
      </c>
      <c r="D21" s="66">
        <v>13</v>
      </c>
      <c r="E21" s="67" t="s">
        <v>84</v>
      </c>
      <c r="F21" s="66">
        <v>456</v>
      </c>
      <c r="G21" s="66">
        <v>0</v>
      </c>
      <c r="H21" s="18"/>
      <c r="I21" s="78"/>
      <c r="J21" s="78"/>
      <c r="K21" s="78"/>
      <c r="L21" s="78"/>
      <c r="M21" s="78"/>
      <c r="N21" s="78"/>
      <c r="O21" s="78"/>
      <c r="P21" s="78"/>
      <c r="S21" s="148" t="str">
        <v>Napp</v>
      </c>
    </row>
    <row r="22" spans="1:19" ht="30" customHeight="1" thickBot="1" x14ac:dyDescent="0.3">
      <c r="A22" s="143" t="s">
        <v>15</v>
      </c>
      <c r="B22" s="144">
        <f>DATE(B3,12,26)</f>
        <v>46017</v>
      </c>
      <c r="D22" s="66">
        <v>14</v>
      </c>
      <c r="E22" s="67" t="s">
        <v>85</v>
      </c>
      <c r="F22" s="66">
        <v>567</v>
      </c>
      <c r="G22" s="66">
        <v>0</v>
      </c>
      <c r="H22" s="18"/>
      <c r="I22" s="18"/>
      <c r="J22" s="18"/>
      <c r="K22" s="18"/>
      <c r="L22" s="18"/>
      <c r="M22" s="18"/>
      <c r="N22" s="18"/>
      <c r="O22" s="18"/>
      <c r="P22" s="18"/>
      <c r="S22" s="148" t="str">
        <v>Weinert</v>
      </c>
    </row>
    <row r="23" spans="1:19" ht="30" customHeight="1" x14ac:dyDescent="0.25">
      <c r="D23" s="66">
        <v>15</v>
      </c>
      <c r="E23" s="67" t="s">
        <v>86</v>
      </c>
      <c r="F23" s="68" t="s">
        <v>89</v>
      </c>
      <c r="G23" s="66">
        <v>0</v>
      </c>
      <c r="H23" s="18"/>
      <c r="I23" s="24"/>
      <c r="J23" s="18"/>
      <c r="K23" s="18"/>
      <c r="L23" s="18"/>
      <c r="M23" s="18"/>
      <c r="N23" s="18"/>
      <c r="O23" s="18"/>
      <c r="P23" s="18"/>
      <c r="S23" s="148" t="str">
        <v>Bruns</v>
      </c>
    </row>
    <row r="24" spans="1:19" ht="30" customHeight="1" x14ac:dyDescent="0.25">
      <c r="D24" s="66">
        <v>16</v>
      </c>
      <c r="E24" s="67" t="s">
        <v>87</v>
      </c>
      <c r="F24" s="66">
        <v>789</v>
      </c>
      <c r="G24" s="66">
        <v>0</v>
      </c>
      <c r="H24" s="18"/>
      <c r="I24" s="18"/>
      <c r="J24" s="18"/>
      <c r="K24" s="18"/>
      <c r="L24" s="18"/>
      <c r="M24" s="18"/>
      <c r="N24" s="18"/>
      <c r="O24" s="18"/>
      <c r="P24" s="18"/>
      <c r="S24" s="148" t="str">
        <v>Prondzinski</v>
      </c>
    </row>
    <row r="25" spans="1:19" ht="30" customHeight="1" x14ac:dyDescent="0.25">
      <c r="A25" s="18"/>
      <c r="D25" s="66"/>
      <c r="E25" s="67"/>
      <c r="F25" s="66"/>
      <c r="G25" s="66"/>
      <c r="H25" s="18"/>
      <c r="I25" s="78" t="s">
        <v>60</v>
      </c>
      <c r="J25" s="18"/>
      <c r="K25" s="18"/>
      <c r="L25" s="18"/>
      <c r="M25" s="18"/>
      <c r="N25" s="18"/>
      <c r="O25" s="18"/>
      <c r="P25" s="18"/>
      <c r="S25" s="148" t="str">
        <v xml:space="preserve"> </v>
      </c>
    </row>
    <row r="26" spans="1:19" ht="30" customHeight="1" x14ac:dyDescent="0.25">
      <c r="A26" s="18"/>
      <c r="D26" s="66"/>
      <c r="E26" s="67"/>
      <c r="F26" s="66"/>
      <c r="G26" s="66"/>
      <c r="H26" s="18"/>
      <c r="I26" s="78" t="s">
        <v>61</v>
      </c>
      <c r="J26" s="18"/>
      <c r="K26" s="18"/>
      <c r="L26" s="18"/>
      <c r="M26" s="18"/>
      <c r="N26" s="18"/>
      <c r="O26" s="18"/>
      <c r="P26" s="18"/>
      <c r="S26" s="148" t="str">
        <v xml:space="preserve"> </v>
      </c>
    </row>
    <row r="27" spans="1:19" ht="30" customHeight="1" x14ac:dyDescent="0.25">
      <c r="D27" s="66"/>
      <c r="E27" s="67"/>
      <c r="F27" s="66"/>
      <c r="G27" s="66"/>
      <c r="H27" s="18"/>
      <c r="I27" s="78" t="s">
        <v>62</v>
      </c>
      <c r="J27" s="46"/>
      <c r="K27" s="46"/>
      <c r="L27" s="46"/>
      <c r="M27" s="46"/>
      <c r="N27" s="46"/>
      <c r="O27" s="46"/>
      <c r="P27" s="46"/>
      <c r="Q27" s="47"/>
      <c r="S27" s="148" t="str">
        <v xml:space="preserve"> </v>
      </c>
    </row>
    <row r="28" spans="1:19" ht="30" customHeight="1" x14ac:dyDescent="0.25">
      <c r="D28" s="66"/>
      <c r="E28" s="67"/>
      <c r="F28" s="66"/>
      <c r="G28" s="66"/>
      <c r="H28" s="18"/>
      <c r="I28" s="46"/>
      <c r="J28" s="46"/>
      <c r="K28" s="46"/>
      <c r="L28" s="46"/>
      <c r="M28" s="46"/>
      <c r="N28" s="46"/>
      <c r="O28" s="46"/>
      <c r="P28" s="46"/>
      <c r="Q28" s="47"/>
      <c r="S28" s="148" t="str">
        <v xml:space="preserve"> </v>
      </c>
    </row>
    <row r="29" spans="1:19" ht="30" customHeight="1" thickBot="1" x14ac:dyDescent="0.3">
      <c r="D29" s="66"/>
      <c r="E29" s="67"/>
      <c r="F29" s="66"/>
      <c r="G29" s="66"/>
      <c r="H29" s="18"/>
      <c r="I29" s="89" t="s">
        <v>35</v>
      </c>
      <c r="J29" s="18"/>
      <c r="K29" s="231"/>
      <c r="L29" s="18"/>
      <c r="M29" s="18"/>
      <c r="N29" s="18"/>
      <c r="O29" s="18"/>
      <c r="P29" s="18"/>
      <c r="S29" s="148" t="str">
        <v xml:space="preserve"> </v>
      </c>
    </row>
    <row r="30" spans="1:19" ht="30" customHeight="1" x14ac:dyDescent="0.25">
      <c r="A30" s="25"/>
      <c r="D30" s="66"/>
      <c r="E30" s="67"/>
      <c r="F30" s="68"/>
      <c r="G30" s="66"/>
      <c r="H30" s="18"/>
      <c r="I30" s="90" t="s">
        <v>90</v>
      </c>
      <c r="J30" s="18"/>
      <c r="K30" s="230"/>
      <c r="L30" s="18"/>
      <c r="M30" s="18"/>
      <c r="N30" s="18"/>
      <c r="O30" s="18"/>
      <c r="P30" s="18"/>
      <c r="S30" s="148" t="str">
        <v xml:space="preserve"> </v>
      </c>
    </row>
    <row r="31" spans="1:19" ht="30" customHeight="1" x14ac:dyDescent="0.25">
      <c r="A31" s="76"/>
      <c r="D31" s="66"/>
      <c r="E31" s="67"/>
      <c r="F31" s="66"/>
      <c r="G31" s="66"/>
      <c r="H31" s="18"/>
      <c r="I31" s="91" t="s">
        <v>91</v>
      </c>
      <c r="J31" s="18"/>
      <c r="K31" s="230"/>
      <c r="L31" s="18"/>
      <c r="M31" s="18"/>
      <c r="N31" s="18"/>
      <c r="O31" s="18"/>
      <c r="P31" s="18"/>
      <c r="S31" s="148" t="str">
        <v xml:space="preserve"> </v>
      </c>
    </row>
    <row r="32" spans="1:19" ht="30" customHeight="1" x14ac:dyDescent="0.25">
      <c r="D32" s="66"/>
      <c r="E32" s="67"/>
      <c r="F32" s="66"/>
      <c r="G32" s="66"/>
      <c r="H32" s="18"/>
      <c r="I32" s="91"/>
      <c r="J32" s="18"/>
      <c r="K32" s="230"/>
      <c r="L32" s="18"/>
      <c r="M32" s="18"/>
      <c r="N32" s="18"/>
      <c r="O32" s="18"/>
      <c r="P32" s="18"/>
      <c r="S32" s="148" t="str">
        <v xml:space="preserve"> </v>
      </c>
    </row>
    <row r="33" spans="2:19" ht="30" customHeight="1" x14ac:dyDescent="0.25">
      <c r="B33" s="145"/>
      <c r="D33" s="66"/>
      <c r="E33" s="67"/>
      <c r="F33" s="66"/>
      <c r="G33" s="66"/>
      <c r="H33" s="18"/>
      <c r="I33" s="91"/>
      <c r="J33" s="18"/>
      <c r="K33" s="230"/>
      <c r="L33" s="18"/>
      <c r="M33" s="18"/>
      <c r="N33" s="18"/>
      <c r="O33" s="18"/>
      <c r="P33" s="18"/>
      <c r="S33" s="148" t="str">
        <v xml:space="preserve"> </v>
      </c>
    </row>
    <row r="34" spans="2:19" ht="30" customHeight="1" x14ac:dyDescent="0.25">
      <c r="D34" s="66"/>
      <c r="E34" s="67"/>
      <c r="F34" s="66"/>
      <c r="G34" s="66"/>
      <c r="H34" s="18"/>
      <c r="I34" s="91"/>
      <c r="J34" s="18"/>
      <c r="K34" s="230"/>
      <c r="L34" s="18"/>
      <c r="M34" s="18"/>
      <c r="N34" s="18"/>
      <c r="O34" s="18"/>
      <c r="P34" s="18"/>
      <c r="S34" s="148" t="str">
        <v xml:space="preserve"> </v>
      </c>
    </row>
    <row r="35" spans="2:19" ht="30" customHeight="1" x14ac:dyDescent="0.25">
      <c r="D35" s="66"/>
      <c r="E35" s="67"/>
      <c r="F35" s="68"/>
      <c r="G35" s="66"/>
      <c r="H35" s="18"/>
      <c r="I35" s="91"/>
      <c r="J35" s="18"/>
      <c r="K35" s="230"/>
      <c r="L35" s="18"/>
      <c r="M35" s="18"/>
      <c r="N35" s="18"/>
      <c r="O35" s="18"/>
      <c r="P35" s="18"/>
      <c r="S35" s="148" t="str">
        <v xml:space="preserve"> </v>
      </c>
    </row>
    <row r="36" spans="2:19" ht="30" customHeight="1" x14ac:dyDescent="0.25">
      <c r="B36" s="234"/>
      <c r="D36" s="66"/>
      <c r="E36" s="67"/>
      <c r="F36" s="66"/>
      <c r="G36" s="66"/>
      <c r="H36" s="18"/>
      <c r="I36" s="91"/>
      <c r="J36" s="18"/>
      <c r="K36" s="230"/>
      <c r="L36" s="18"/>
      <c r="M36" s="18"/>
      <c r="N36" s="18"/>
      <c r="O36" s="18"/>
      <c r="P36" s="18"/>
      <c r="S36" s="148" t="str">
        <v xml:space="preserve"> </v>
      </c>
    </row>
    <row r="37" spans="2:19" ht="30" customHeight="1" x14ac:dyDescent="0.25">
      <c r="B37" s="234"/>
      <c r="D37" s="66"/>
      <c r="E37" s="67"/>
      <c r="F37" s="66"/>
      <c r="G37" s="66"/>
      <c r="H37" s="18"/>
      <c r="I37" s="91"/>
      <c r="J37" s="18"/>
      <c r="K37" s="230"/>
      <c r="L37" s="18"/>
      <c r="M37" s="18"/>
      <c r="N37" s="18"/>
      <c r="O37" s="18"/>
      <c r="P37" s="18"/>
      <c r="S37" s="148" t="str">
        <v xml:space="preserve"> </v>
      </c>
    </row>
    <row r="38" spans="2:19" ht="30" customHeight="1" x14ac:dyDescent="0.25">
      <c r="D38" s="66"/>
      <c r="E38" s="67"/>
      <c r="F38" s="68"/>
      <c r="G38" s="66"/>
      <c r="H38" s="18"/>
      <c r="I38" s="91"/>
      <c r="J38" s="18"/>
      <c r="K38" s="230"/>
      <c r="L38" s="18"/>
      <c r="M38" s="18"/>
      <c r="N38" s="18"/>
      <c r="O38" s="18"/>
      <c r="P38" s="18"/>
      <c r="S38" s="148" t="str">
        <v xml:space="preserve"> </v>
      </c>
    </row>
    <row r="39" spans="2:19" ht="30" customHeight="1" x14ac:dyDescent="0.25">
      <c r="D39" s="66"/>
      <c r="E39" s="67"/>
      <c r="F39" s="68"/>
      <c r="G39" s="66"/>
      <c r="H39" s="18"/>
      <c r="I39" s="91"/>
      <c r="J39" s="18"/>
      <c r="K39" s="230"/>
      <c r="L39" s="18"/>
      <c r="M39" s="18"/>
      <c r="N39" s="18"/>
      <c r="O39" s="18"/>
      <c r="P39" s="18"/>
      <c r="S39" s="148" t="str">
        <v xml:space="preserve"> </v>
      </c>
    </row>
    <row r="40" spans="2:19" ht="30" customHeight="1" x14ac:dyDescent="0.25">
      <c r="D40" s="66"/>
      <c r="E40" s="67"/>
      <c r="F40" s="68"/>
      <c r="G40" s="66"/>
      <c r="H40" s="18"/>
      <c r="I40" s="91"/>
      <c r="J40" s="18"/>
      <c r="K40" s="230"/>
      <c r="L40" s="18"/>
      <c r="M40" s="18"/>
      <c r="N40" s="18"/>
      <c r="O40" s="18"/>
      <c r="P40" s="18"/>
      <c r="S40" s="148" t="str">
        <v xml:space="preserve"> </v>
      </c>
    </row>
    <row r="41" spans="2:19" ht="30" customHeight="1" x14ac:dyDescent="0.25">
      <c r="D41" s="66"/>
      <c r="E41" s="67"/>
      <c r="F41" s="68"/>
      <c r="G41" s="66"/>
      <c r="H41" s="18"/>
      <c r="I41" s="91"/>
      <c r="J41" s="18"/>
      <c r="K41" s="230"/>
      <c r="L41" s="18"/>
      <c r="M41" s="18"/>
      <c r="N41" s="18"/>
      <c r="O41" s="18"/>
      <c r="P41" s="18"/>
      <c r="S41" s="148" t="str">
        <v xml:space="preserve"> </v>
      </c>
    </row>
    <row r="42" spans="2:19" ht="30" customHeight="1" thickBot="1" x14ac:dyDescent="0.3">
      <c r="D42" s="66"/>
      <c r="E42" s="67"/>
      <c r="F42" s="68"/>
      <c r="G42" s="66"/>
      <c r="H42" s="18"/>
      <c r="I42" s="92"/>
      <c r="J42" s="18"/>
      <c r="K42" s="230"/>
      <c r="L42" s="18"/>
      <c r="M42" s="18"/>
      <c r="N42" s="18"/>
      <c r="O42" s="18"/>
      <c r="P42" s="18"/>
      <c r="S42" s="148" t="str">
        <v xml:space="preserve"> </v>
      </c>
    </row>
    <row r="43" spans="2:19" ht="30" customHeight="1" x14ac:dyDescent="0.25">
      <c r="D43" s="66"/>
      <c r="E43" s="67"/>
      <c r="F43" s="68"/>
      <c r="G43" s="66"/>
      <c r="H43" s="18"/>
      <c r="S43" s="148" t="str">
        <v xml:space="preserve"> </v>
      </c>
    </row>
    <row r="44" spans="2:19" ht="30" customHeight="1" x14ac:dyDescent="0.25">
      <c r="D44" s="66"/>
      <c r="E44" s="67"/>
      <c r="F44" s="68"/>
      <c r="G44" s="66"/>
      <c r="H44" s="18"/>
      <c r="S44" s="148" t="str">
        <v xml:space="preserve"> </v>
      </c>
    </row>
    <row r="45" spans="2:19" ht="30" customHeight="1" x14ac:dyDescent="0.25">
      <c r="D45" s="66"/>
      <c r="E45" s="67"/>
      <c r="F45" s="68"/>
      <c r="G45" s="66"/>
      <c r="H45" s="18"/>
      <c r="S45" s="148" t="str">
        <v xml:space="preserve"> </v>
      </c>
    </row>
    <row r="46" spans="2:19" ht="30" customHeight="1" x14ac:dyDescent="0.25">
      <c r="D46" s="66"/>
      <c r="E46" s="67"/>
      <c r="F46" s="68"/>
      <c r="G46" s="66"/>
      <c r="H46" s="18"/>
      <c r="S46" s="148" t="str">
        <v xml:space="preserve"> </v>
      </c>
    </row>
    <row r="47" spans="2:19" ht="30" customHeight="1" x14ac:dyDescent="0.25">
      <c r="D47" s="66"/>
      <c r="E47" s="67"/>
      <c r="F47" s="68"/>
      <c r="G47" s="66"/>
      <c r="H47" s="18"/>
      <c r="S47" s="148" t="str">
        <v xml:space="preserve"> </v>
      </c>
    </row>
    <row r="48" spans="2:19" ht="30" customHeight="1" x14ac:dyDescent="0.25">
      <c r="D48" s="66"/>
      <c r="E48" s="67"/>
      <c r="F48" s="68"/>
      <c r="G48" s="66"/>
      <c r="H48" s="18"/>
      <c r="S48" s="148" t="str">
        <v xml:space="preserve"> </v>
      </c>
    </row>
    <row r="49" spans="4:19" ht="30" customHeight="1" x14ac:dyDescent="0.25">
      <c r="D49" s="66"/>
      <c r="E49" s="67"/>
      <c r="F49" s="68"/>
      <c r="G49" s="66"/>
      <c r="H49" s="18"/>
      <c r="S49" s="148" t="str">
        <v xml:space="preserve"> </v>
      </c>
    </row>
    <row r="50" spans="4:19" ht="30" customHeight="1" x14ac:dyDescent="0.25">
      <c r="D50" s="66"/>
      <c r="E50" s="67"/>
      <c r="F50" s="66"/>
      <c r="G50" s="66"/>
      <c r="H50" s="18"/>
      <c r="S50" s="148" t="str">
        <v xml:space="preserve"> </v>
      </c>
    </row>
    <row r="51" spans="4:19" ht="30" customHeight="1" x14ac:dyDescent="0.25">
      <c r="D51" s="66"/>
      <c r="E51" s="67"/>
      <c r="F51" s="66"/>
      <c r="G51" s="66"/>
      <c r="H51" s="18"/>
      <c r="S51" s="148" t="str">
        <v xml:space="preserve"> </v>
      </c>
    </row>
    <row r="52" spans="4:19" ht="30" customHeight="1" x14ac:dyDescent="0.25">
      <c r="D52" s="66"/>
      <c r="E52" s="67"/>
      <c r="F52" s="68"/>
      <c r="G52" s="66"/>
      <c r="H52" s="18"/>
      <c r="S52" s="148" t="str">
        <v xml:space="preserve"> </v>
      </c>
    </row>
    <row r="53" spans="4:19" ht="30" customHeight="1" x14ac:dyDescent="0.25">
      <c r="D53" s="66"/>
      <c r="E53" s="67"/>
      <c r="F53" s="68"/>
      <c r="G53" s="66"/>
      <c r="H53" s="18"/>
      <c r="S53" s="148" t="str">
        <v xml:space="preserve"> </v>
      </c>
    </row>
    <row r="54" spans="4:19" ht="30" customHeight="1" x14ac:dyDescent="0.25">
      <c r="D54" s="66"/>
      <c r="E54" s="67"/>
      <c r="F54" s="68"/>
      <c r="G54" s="66"/>
      <c r="H54" s="18"/>
      <c r="S54" s="148" t="str">
        <v xml:space="preserve"> </v>
      </c>
    </row>
    <row r="55" spans="4:19" ht="30" customHeight="1" x14ac:dyDescent="0.25">
      <c r="D55" s="66"/>
      <c r="E55" s="67"/>
      <c r="F55" s="68"/>
      <c r="G55" s="66"/>
      <c r="H55" s="18"/>
      <c r="S55" s="148" t="str">
        <v xml:space="preserve"> </v>
      </c>
    </row>
    <row r="56" spans="4:19" ht="30" customHeight="1" x14ac:dyDescent="0.25">
      <c r="D56" s="66"/>
      <c r="E56" s="67"/>
      <c r="F56" s="68"/>
      <c r="G56" s="66"/>
      <c r="H56" s="18"/>
      <c r="S56" s="148" t="str">
        <v xml:space="preserve"> </v>
      </c>
    </row>
    <row r="57" spans="4:19" ht="30" customHeight="1" x14ac:dyDescent="0.25">
      <c r="D57" s="66"/>
      <c r="E57" s="67"/>
      <c r="F57" s="68"/>
      <c r="G57" s="66"/>
      <c r="H57" s="18"/>
      <c r="S57" s="148" t="str">
        <v xml:space="preserve"> </v>
      </c>
    </row>
    <row r="58" spans="4:19" ht="30" customHeight="1" x14ac:dyDescent="0.25">
      <c r="D58" s="66"/>
      <c r="E58" s="67"/>
      <c r="F58" s="68"/>
      <c r="G58" s="66"/>
      <c r="H58" s="18"/>
      <c r="S58" s="148" t="str">
        <v xml:space="preserve"> </v>
      </c>
    </row>
    <row r="59" spans="4:19" ht="30" customHeight="1" x14ac:dyDescent="0.25">
      <c r="D59" s="66"/>
      <c r="E59" s="67"/>
      <c r="F59" s="68"/>
      <c r="G59" s="66"/>
      <c r="H59" s="18"/>
      <c r="S59" s="148" t="str">
        <v xml:space="preserve"> </v>
      </c>
    </row>
    <row r="60" spans="4:19" ht="30" customHeight="1" x14ac:dyDescent="0.25">
      <c r="D60" s="66"/>
      <c r="E60" s="67"/>
      <c r="F60" s="68"/>
      <c r="G60" s="66"/>
      <c r="H60" s="18"/>
      <c r="S60" s="148" t="str">
        <v xml:space="preserve"> </v>
      </c>
    </row>
    <row r="61" spans="4:19" ht="30" customHeight="1" x14ac:dyDescent="0.25">
      <c r="D61" s="66"/>
      <c r="E61" s="67"/>
      <c r="F61" s="68"/>
      <c r="G61" s="66"/>
      <c r="H61" s="18"/>
      <c r="S61" s="148" t="str">
        <v xml:space="preserve"> </v>
      </c>
    </row>
    <row r="62" spans="4:19" ht="30" customHeight="1" x14ac:dyDescent="0.25">
      <c r="D62" s="66"/>
      <c r="E62" s="67"/>
      <c r="F62" s="68"/>
      <c r="G62" s="66"/>
      <c r="H62" s="18"/>
      <c r="S62" s="148" t="str">
        <v xml:space="preserve"> </v>
      </c>
    </row>
    <row r="63" spans="4:19" ht="30" customHeight="1" x14ac:dyDescent="0.25">
      <c r="D63" s="66"/>
      <c r="E63" s="67"/>
      <c r="F63" s="68"/>
      <c r="G63" s="66"/>
      <c r="H63" s="18"/>
      <c r="S63" s="148" t="str">
        <v xml:space="preserve"> </v>
      </c>
    </row>
    <row r="64" spans="4:19" ht="30" customHeight="1" x14ac:dyDescent="0.25">
      <c r="D64" s="66"/>
      <c r="E64" s="67"/>
      <c r="F64" s="68"/>
      <c r="G64" s="66"/>
      <c r="H64" s="18"/>
      <c r="S64" s="148" t="str">
        <v xml:space="preserve"> </v>
      </c>
    </row>
    <row r="65" spans="4:19" ht="30" customHeight="1" x14ac:dyDescent="0.25">
      <c r="D65" s="66"/>
      <c r="E65" s="67"/>
      <c r="F65" s="68"/>
      <c r="G65" s="66"/>
      <c r="H65" s="18"/>
      <c r="S65" s="148" t="str">
        <v xml:space="preserve"> </v>
      </c>
    </row>
    <row r="66" spans="4:19" ht="30" customHeight="1" x14ac:dyDescent="0.25">
      <c r="D66" s="66"/>
      <c r="E66" s="67"/>
      <c r="F66" s="68"/>
      <c r="G66" s="66"/>
      <c r="H66" s="18"/>
      <c r="S66" s="148" t="str">
        <v xml:space="preserve"> </v>
      </c>
    </row>
    <row r="67" spans="4:19" ht="30" customHeight="1" x14ac:dyDescent="0.25">
      <c r="D67" s="66"/>
      <c r="E67" s="67"/>
      <c r="F67" s="68"/>
      <c r="G67" s="66"/>
      <c r="H67" s="18"/>
      <c r="S67" s="148" t="str">
        <v xml:space="preserve"> </v>
      </c>
    </row>
    <row r="68" spans="4:19" ht="30" customHeight="1" x14ac:dyDescent="0.25">
      <c r="D68" s="66"/>
      <c r="E68" s="67"/>
      <c r="F68" s="68"/>
      <c r="G68" s="66"/>
      <c r="H68" s="18"/>
      <c r="S68" s="148" t="str">
        <v xml:space="preserve"> </v>
      </c>
    </row>
    <row r="69" spans="4:19" ht="30" customHeight="1" x14ac:dyDescent="0.25">
      <c r="D69" s="66"/>
      <c r="E69" s="67"/>
      <c r="F69" s="68"/>
      <c r="G69" s="66"/>
      <c r="H69" s="18"/>
      <c r="S69" s="148" t="str">
        <v xml:space="preserve"> </v>
      </c>
    </row>
    <row r="70" spans="4:19" ht="30" customHeight="1" x14ac:dyDescent="0.25">
      <c r="D70" s="66"/>
      <c r="E70" s="67"/>
      <c r="F70" s="68"/>
      <c r="G70" s="66"/>
      <c r="H70" s="18"/>
      <c r="S70" s="148" t="str">
        <v xml:space="preserve"> </v>
      </c>
    </row>
    <row r="71" spans="4:19" ht="30" customHeight="1" x14ac:dyDescent="0.25">
      <c r="D71" s="66"/>
      <c r="E71" s="67"/>
      <c r="F71" s="68"/>
      <c r="G71" s="66"/>
      <c r="H71" s="18"/>
      <c r="S71" s="148" t="str">
        <v xml:space="preserve"> </v>
      </c>
    </row>
    <row r="72" spans="4:19" ht="30" customHeight="1" x14ac:dyDescent="0.25">
      <c r="D72" s="66"/>
      <c r="E72" s="67"/>
      <c r="F72" s="68"/>
      <c r="G72" s="66"/>
      <c r="H72" s="18"/>
      <c r="S72" s="148" t="str">
        <v xml:space="preserve"> </v>
      </c>
    </row>
    <row r="73" spans="4:19" ht="30" customHeight="1" x14ac:dyDescent="0.25">
      <c r="D73" s="66"/>
      <c r="E73" s="67"/>
      <c r="F73" s="68"/>
      <c r="G73" s="66"/>
      <c r="H73" s="18"/>
      <c r="S73" s="148" t="str">
        <v xml:space="preserve"> </v>
      </c>
    </row>
    <row r="74" spans="4:19" ht="30" customHeight="1" x14ac:dyDescent="0.25">
      <c r="D74" s="66"/>
      <c r="E74" s="67"/>
      <c r="F74" s="68"/>
      <c r="G74" s="66"/>
      <c r="H74" s="18"/>
      <c r="S74" s="148" t="str">
        <v xml:space="preserve"> </v>
      </c>
    </row>
    <row r="75" spans="4:19" ht="30" customHeight="1" x14ac:dyDescent="0.25">
      <c r="D75" s="66"/>
      <c r="E75" s="67"/>
      <c r="F75" s="68"/>
      <c r="G75" s="66"/>
      <c r="H75" s="18"/>
      <c r="S75" s="148" t="str">
        <v xml:space="preserve"> </v>
      </c>
    </row>
    <row r="76" spans="4:19" ht="30" customHeight="1" x14ac:dyDescent="0.25">
      <c r="D76" s="66"/>
      <c r="E76" s="67"/>
      <c r="F76" s="68"/>
      <c r="G76" s="66"/>
      <c r="H76" s="18"/>
      <c r="S76" s="148" t="str">
        <v xml:space="preserve"> </v>
      </c>
    </row>
    <row r="77" spans="4:19" ht="30" customHeight="1" x14ac:dyDescent="0.25">
      <c r="D77" s="66"/>
      <c r="E77" s="67"/>
      <c r="F77" s="68"/>
      <c r="G77" s="66"/>
      <c r="H77" s="18"/>
      <c r="S77" s="148" t="str">
        <v xml:space="preserve"> </v>
      </c>
    </row>
    <row r="78" spans="4:19" ht="30" customHeight="1" x14ac:dyDescent="0.25">
      <c r="D78" s="66"/>
      <c r="E78" s="67"/>
      <c r="F78" s="68"/>
      <c r="G78" s="66"/>
      <c r="H78" s="18"/>
      <c r="S78" s="148" t="str">
        <v xml:space="preserve"> </v>
      </c>
    </row>
    <row r="79" spans="4:19" ht="30" customHeight="1" x14ac:dyDescent="0.25">
      <c r="D79" s="66"/>
      <c r="E79" s="67"/>
      <c r="F79" s="68"/>
      <c r="G79" s="66"/>
      <c r="H79" s="18"/>
      <c r="S79" s="148" t="str">
        <v xml:space="preserve"> </v>
      </c>
    </row>
    <row r="80" spans="4:19" ht="30" customHeight="1" x14ac:dyDescent="0.25">
      <c r="D80" s="66"/>
      <c r="E80" s="67"/>
      <c r="F80" s="68"/>
      <c r="G80" s="66"/>
      <c r="H80" s="18"/>
      <c r="S80" s="148" t="str">
        <v xml:space="preserve"> </v>
      </c>
    </row>
    <row r="81" spans="4:19" ht="30" customHeight="1" x14ac:dyDescent="0.25">
      <c r="D81" s="66"/>
      <c r="E81" s="67"/>
      <c r="F81" s="68"/>
      <c r="G81" s="66"/>
      <c r="H81" s="18"/>
      <c r="S81" s="148" t="str">
        <v xml:space="preserve"> </v>
      </c>
    </row>
    <row r="82" spans="4:19" ht="30" customHeight="1" x14ac:dyDescent="0.25">
      <c r="D82" s="66"/>
      <c r="E82" s="67"/>
      <c r="F82" s="68"/>
      <c r="G82" s="66"/>
      <c r="H82" s="18"/>
      <c r="S82" s="148" t="str">
        <v xml:space="preserve"> </v>
      </c>
    </row>
    <row r="83" spans="4:19" ht="30" customHeight="1" x14ac:dyDescent="0.25">
      <c r="D83" s="66"/>
      <c r="E83" s="67"/>
      <c r="F83" s="68"/>
      <c r="G83" s="66"/>
      <c r="H83" s="18"/>
      <c r="S83" s="148" t="str">
        <v xml:space="preserve"> </v>
      </c>
    </row>
    <row r="84" spans="4:19" ht="30" customHeight="1" x14ac:dyDescent="0.25">
      <c r="D84" s="66"/>
      <c r="E84" s="67"/>
      <c r="F84" s="68"/>
      <c r="G84" s="66"/>
      <c r="H84" s="18"/>
      <c r="S84" s="148" t="str">
        <v xml:space="preserve"> </v>
      </c>
    </row>
    <row r="85" spans="4:19" ht="24" customHeight="1" x14ac:dyDescent="0.25"/>
    <row r="86" spans="4:19" ht="24" customHeight="1" x14ac:dyDescent="0.25"/>
    <row r="87" spans="4:19" ht="24" customHeight="1" x14ac:dyDescent="0.25"/>
    <row r="88" spans="4:19" ht="24" customHeight="1" x14ac:dyDescent="0.25"/>
    <row r="89" spans="4:19" ht="24" customHeight="1" x14ac:dyDescent="0.25"/>
    <row r="90" spans="4:19" ht="24" customHeight="1" x14ac:dyDescent="0.25"/>
    <row r="91" spans="4:19" ht="24" customHeight="1" x14ac:dyDescent="0.25"/>
    <row r="92" spans="4:19" ht="24" customHeight="1" x14ac:dyDescent="0.25"/>
    <row r="93" spans="4:19" ht="24" customHeight="1" x14ac:dyDescent="0.25"/>
    <row r="94" spans="4:19" ht="24" customHeight="1" x14ac:dyDescent="0.25"/>
    <row r="95" spans="4:19" ht="24" customHeight="1" x14ac:dyDescent="0.25"/>
    <row r="96" spans="4:19" ht="24" customHeight="1" x14ac:dyDescent="0.25"/>
    <row r="97" ht="24" customHeight="1" x14ac:dyDescent="0.25"/>
    <row r="98" ht="24" customHeight="1" x14ac:dyDescent="0.25"/>
    <row r="99" ht="24" customHeight="1" x14ac:dyDescent="0.25"/>
    <row r="100" ht="24" customHeight="1" x14ac:dyDescent="0.25"/>
    <row r="101" ht="24" customHeight="1" x14ac:dyDescent="0.25"/>
    <row r="102" ht="24" customHeight="1" x14ac:dyDescent="0.25"/>
    <row r="103" ht="24" customHeight="1" x14ac:dyDescent="0.25"/>
    <row r="104" ht="24" customHeight="1" x14ac:dyDescent="0.25"/>
    <row r="105" ht="24" customHeight="1" x14ac:dyDescent="0.25"/>
    <row r="106" ht="24" customHeight="1" x14ac:dyDescent="0.25"/>
    <row r="107" ht="24" customHeight="1" x14ac:dyDescent="0.25"/>
    <row r="108" ht="24" customHeight="1" x14ac:dyDescent="0.25"/>
    <row r="109" ht="24" customHeight="1" x14ac:dyDescent="0.25"/>
    <row r="110" ht="24" customHeight="1" x14ac:dyDescent="0.25"/>
    <row r="111" ht="24" customHeight="1" x14ac:dyDescent="0.25"/>
    <row r="112" ht="24" customHeight="1" x14ac:dyDescent="0.25"/>
    <row r="113" ht="24" customHeight="1" x14ac:dyDescent="0.25"/>
    <row r="114" ht="24" customHeight="1" x14ac:dyDescent="0.25"/>
    <row r="115" ht="24" customHeight="1" x14ac:dyDescent="0.25"/>
    <row r="116" ht="24" customHeight="1" x14ac:dyDescent="0.25"/>
    <row r="117" ht="24" customHeight="1" x14ac:dyDescent="0.25"/>
    <row r="118" ht="24" customHeight="1" x14ac:dyDescent="0.25"/>
    <row r="119" ht="24" customHeight="1" x14ac:dyDescent="0.25"/>
    <row r="120" ht="24" customHeight="1" x14ac:dyDescent="0.25"/>
    <row r="121" ht="24" customHeight="1" x14ac:dyDescent="0.25"/>
    <row r="122" ht="24" customHeight="1" x14ac:dyDescent="0.25"/>
    <row r="123" ht="24" customHeight="1" x14ac:dyDescent="0.25"/>
    <row r="124" ht="24" customHeight="1" x14ac:dyDescent="0.25"/>
    <row r="125" ht="24" customHeight="1" x14ac:dyDescent="0.25"/>
    <row r="126" ht="24" customHeight="1" x14ac:dyDescent="0.25"/>
    <row r="127" ht="24" customHeight="1" x14ac:dyDescent="0.25"/>
    <row r="128" ht="24" customHeight="1" x14ac:dyDescent="0.25"/>
    <row r="129" ht="24" customHeight="1" x14ac:dyDescent="0.25"/>
    <row r="130" ht="24" customHeight="1" x14ac:dyDescent="0.25"/>
    <row r="131" ht="24" customHeight="1" x14ac:dyDescent="0.25"/>
    <row r="132" ht="24" customHeight="1" x14ac:dyDescent="0.25"/>
    <row r="133" ht="24" customHeight="1" x14ac:dyDescent="0.25"/>
    <row r="134" ht="24" customHeight="1" x14ac:dyDescent="0.25"/>
    <row r="135" ht="24" customHeight="1" x14ac:dyDescent="0.25"/>
    <row r="136" ht="24" customHeight="1" x14ac:dyDescent="0.25"/>
    <row r="137" ht="24" customHeight="1" x14ac:dyDescent="0.25"/>
    <row r="138" ht="24" customHeight="1" x14ac:dyDescent="0.25"/>
    <row r="139" ht="24" customHeight="1" x14ac:dyDescent="0.25"/>
    <row r="140" ht="24" customHeight="1" x14ac:dyDescent="0.25"/>
    <row r="141" ht="24" customHeight="1" x14ac:dyDescent="0.25"/>
    <row r="142" ht="24" customHeight="1" x14ac:dyDescent="0.25"/>
    <row r="143" ht="24" customHeight="1" x14ac:dyDescent="0.25"/>
    <row r="144" ht="24" customHeight="1" x14ac:dyDescent="0.25"/>
    <row r="145" ht="24" customHeight="1" x14ac:dyDescent="0.25"/>
    <row r="146" ht="20.25" customHeight="1" x14ac:dyDescent="0.25"/>
    <row r="147" ht="20.25" customHeight="1" x14ac:dyDescent="0.25"/>
    <row r="148" ht="20.25" customHeight="1" x14ac:dyDescent="0.25"/>
    <row r="149" ht="20.25" customHeight="1" x14ac:dyDescent="0.25"/>
  </sheetData>
  <sheetProtection algorithmName="SHA-512" hashValue="1hiVpYwYbcClnmrUsOtlsRB0Y14tzglGtbtJwIhoW/Og81L1WZaF+b9/yeDm2dGtmuTDRe5cT3w/b73AnrsDqg==" saltValue="dOSKwbQ5acHyZZc0Ot4CIw==" spinCount="100000" sheet="1" selectLockedCells="1" sort="0" autoFilter="0"/>
  <mergeCells count="6">
    <mergeCell ref="I3:J3"/>
    <mergeCell ref="B36:B37"/>
    <mergeCell ref="A7:B7"/>
    <mergeCell ref="K3:M3"/>
    <mergeCell ref="D7:G7"/>
    <mergeCell ref="E3:G3"/>
  </mergeCells>
  <phoneticPr fontId="26" type="noConversion"/>
  <pageMargins left="0.7" right="0.7" top="0.78749999999999998" bottom="0.78749999999999998" header="0.51180555555555496" footer="0.51180555555555496"/>
  <pageSetup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934F7-1F74-49C8-AC4B-135F34B01053}">
  <sheetPr codeName="Dienstplan1">
    <tabColor theme="4"/>
    <pageSetUpPr fitToPage="1"/>
  </sheetPr>
  <dimension ref="A1:BB113"/>
  <sheetViews>
    <sheetView showGridLines="0" zoomScale="70" zoomScaleNormal="70" workbookViewId="0">
      <selection activeCell="C96" sqref="C96:H96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Januar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1.1.2025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45658</v>
      </c>
      <c r="D6" s="54">
        <f t="shared" ref="D6:AG6" si="0">IF(MONTH(DATE(YEAR($L$3),MONTH($L$3),COLUMN()-COLUMN($B6)))&gt;MONTH($L$3),"",DATE(YEAR($L$3),MONTH($L$3),COLUMN()-COLUMN($B6)))</f>
        <v>45659</v>
      </c>
      <c r="E6" s="54">
        <f t="shared" si="0"/>
        <v>45660</v>
      </c>
      <c r="F6" s="54">
        <f t="shared" si="0"/>
        <v>45661</v>
      </c>
      <c r="G6" s="54">
        <f t="shared" si="0"/>
        <v>45662</v>
      </c>
      <c r="H6" s="54">
        <f t="shared" si="0"/>
        <v>45663</v>
      </c>
      <c r="I6" s="54">
        <f t="shared" si="0"/>
        <v>45664</v>
      </c>
      <c r="J6" s="54">
        <f t="shared" si="0"/>
        <v>45665</v>
      </c>
      <c r="K6" s="54">
        <f t="shared" si="0"/>
        <v>45666</v>
      </c>
      <c r="L6" s="54">
        <f t="shared" si="0"/>
        <v>45667</v>
      </c>
      <c r="M6" s="54">
        <f t="shared" si="0"/>
        <v>45668</v>
      </c>
      <c r="N6" s="54">
        <f t="shared" si="0"/>
        <v>45669</v>
      </c>
      <c r="O6" s="54">
        <f t="shared" si="0"/>
        <v>45670</v>
      </c>
      <c r="P6" s="54">
        <f t="shared" si="0"/>
        <v>45671</v>
      </c>
      <c r="Q6" s="54">
        <f t="shared" si="0"/>
        <v>45672</v>
      </c>
      <c r="R6" s="54">
        <f t="shared" si="0"/>
        <v>45673</v>
      </c>
      <c r="S6" s="54">
        <f t="shared" si="0"/>
        <v>45674</v>
      </c>
      <c r="T6" s="54">
        <f t="shared" si="0"/>
        <v>45675</v>
      </c>
      <c r="U6" s="54">
        <f t="shared" si="0"/>
        <v>45676</v>
      </c>
      <c r="V6" s="54">
        <f t="shared" si="0"/>
        <v>45677</v>
      </c>
      <c r="W6" s="54">
        <f t="shared" si="0"/>
        <v>45678</v>
      </c>
      <c r="X6" s="54">
        <f t="shared" si="0"/>
        <v>45679</v>
      </c>
      <c r="Y6" s="54">
        <f t="shared" si="0"/>
        <v>45680</v>
      </c>
      <c r="Z6" s="54">
        <f t="shared" si="0"/>
        <v>45681</v>
      </c>
      <c r="AA6" s="54">
        <f t="shared" si="0"/>
        <v>45682</v>
      </c>
      <c r="AB6" s="54">
        <f t="shared" si="0"/>
        <v>45683</v>
      </c>
      <c r="AC6" s="54">
        <f t="shared" si="0"/>
        <v>45684</v>
      </c>
      <c r="AD6" s="54">
        <f t="shared" si="0"/>
        <v>45685</v>
      </c>
      <c r="AE6" s="54">
        <f t="shared" si="0"/>
        <v>45686</v>
      </c>
      <c r="AF6" s="54">
        <f t="shared" si="0"/>
        <v>45687</v>
      </c>
      <c r="AG6" s="55">
        <f t="shared" si="0"/>
        <v>45688</v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45658</v>
      </c>
      <c r="D7" s="57">
        <f t="shared" ref="D7:AG7" si="1">IF(MONTH(DATE(YEAR($L$3),MONTH($L$3),COLUMN()-COLUMN($B6)))&gt;MONTH($L$3),"",DATE(YEAR($L$3),MONTH($L$3),COLUMN()-COLUMN($B6)))</f>
        <v>45659</v>
      </c>
      <c r="E7" s="57">
        <f t="shared" si="1"/>
        <v>45660</v>
      </c>
      <c r="F7" s="57">
        <f t="shared" si="1"/>
        <v>45661</v>
      </c>
      <c r="G7" s="57">
        <f t="shared" si="1"/>
        <v>45662</v>
      </c>
      <c r="H7" s="57">
        <f t="shared" si="1"/>
        <v>45663</v>
      </c>
      <c r="I7" s="57">
        <f t="shared" si="1"/>
        <v>45664</v>
      </c>
      <c r="J7" s="57">
        <f t="shared" si="1"/>
        <v>45665</v>
      </c>
      <c r="K7" s="57">
        <f t="shared" si="1"/>
        <v>45666</v>
      </c>
      <c r="L7" s="57">
        <f t="shared" si="1"/>
        <v>45667</v>
      </c>
      <c r="M7" s="57">
        <f t="shared" si="1"/>
        <v>45668</v>
      </c>
      <c r="N7" s="57">
        <f t="shared" si="1"/>
        <v>45669</v>
      </c>
      <c r="O7" s="57">
        <f t="shared" si="1"/>
        <v>45670</v>
      </c>
      <c r="P7" s="57">
        <f t="shared" si="1"/>
        <v>45671</v>
      </c>
      <c r="Q7" s="57">
        <f t="shared" si="1"/>
        <v>45672</v>
      </c>
      <c r="R7" s="57">
        <f t="shared" si="1"/>
        <v>45673</v>
      </c>
      <c r="S7" s="57">
        <f t="shared" si="1"/>
        <v>45674</v>
      </c>
      <c r="T7" s="57">
        <f t="shared" si="1"/>
        <v>45675</v>
      </c>
      <c r="U7" s="57">
        <f t="shared" si="1"/>
        <v>45676</v>
      </c>
      <c r="V7" s="57">
        <f t="shared" si="1"/>
        <v>45677</v>
      </c>
      <c r="W7" s="57">
        <f t="shared" si="1"/>
        <v>45678</v>
      </c>
      <c r="X7" s="57">
        <f t="shared" si="1"/>
        <v>45679</v>
      </c>
      <c r="Y7" s="57">
        <f t="shared" si="1"/>
        <v>45680</v>
      </c>
      <c r="Z7" s="57">
        <f t="shared" si="1"/>
        <v>45681</v>
      </c>
      <c r="AA7" s="57">
        <f t="shared" si="1"/>
        <v>45682</v>
      </c>
      <c r="AB7" s="57">
        <f t="shared" si="1"/>
        <v>45683</v>
      </c>
      <c r="AC7" s="57">
        <f t="shared" si="1"/>
        <v>45684</v>
      </c>
      <c r="AD7" s="57">
        <f t="shared" si="1"/>
        <v>45685</v>
      </c>
      <c r="AE7" s="57">
        <f t="shared" si="1"/>
        <v>45686</v>
      </c>
      <c r="AF7" s="57">
        <f t="shared" si="1"/>
        <v>45687</v>
      </c>
      <c r="AG7" s="58">
        <f t="shared" si="1"/>
        <v>45688</v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3</v>
      </c>
      <c r="D8" s="45">
        <f>IFERROR(WEEKDAY(D6,2), 0)</f>
        <v>4</v>
      </c>
      <c r="E8" s="45">
        <f t="shared" ref="E8:AG8" si="2">IFERROR(WEEKDAY(E6,2), 0)</f>
        <v>5</v>
      </c>
      <c r="F8" s="45">
        <f t="shared" si="2"/>
        <v>6</v>
      </c>
      <c r="G8" s="45">
        <f t="shared" si="2"/>
        <v>7</v>
      </c>
      <c r="H8" s="45">
        <f t="shared" si="2"/>
        <v>1</v>
      </c>
      <c r="I8" s="45">
        <f t="shared" si="2"/>
        <v>2</v>
      </c>
      <c r="J8" s="45">
        <f t="shared" si="2"/>
        <v>3</v>
      </c>
      <c r="K8" s="45">
        <f t="shared" si="2"/>
        <v>4</v>
      </c>
      <c r="L8" s="45">
        <f t="shared" si="2"/>
        <v>5</v>
      </c>
      <c r="M8" s="45">
        <f t="shared" si="2"/>
        <v>6</v>
      </c>
      <c r="N8" s="45">
        <f t="shared" si="2"/>
        <v>7</v>
      </c>
      <c r="O8" s="45">
        <f t="shared" si="2"/>
        <v>1</v>
      </c>
      <c r="P8" s="45">
        <f t="shared" si="2"/>
        <v>2</v>
      </c>
      <c r="Q8" s="45">
        <f t="shared" si="2"/>
        <v>3</v>
      </c>
      <c r="R8" s="45">
        <f t="shared" si="2"/>
        <v>4</v>
      </c>
      <c r="S8" s="45">
        <f t="shared" si="2"/>
        <v>5</v>
      </c>
      <c r="T8" s="45">
        <f t="shared" si="2"/>
        <v>6</v>
      </c>
      <c r="U8" s="45">
        <f t="shared" si="2"/>
        <v>7</v>
      </c>
      <c r="V8" s="45">
        <f t="shared" si="2"/>
        <v>1</v>
      </c>
      <c r="W8" s="45">
        <f t="shared" si="2"/>
        <v>2</v>
      </c>
      <c r="X8" s="45">
        <f t="shared" si="2"/>
        <v>3</v>
      </c>
      <c r="Y8" s="45">
        <f t="shared" si="2"/>
        <v>4</v>
      </c>
      <c r="Z8" s="45">
        <f t="shared" si="2"/>
        <v>5</v>
      </c>
      <c r="AA8" s="45">
        <f t="shared" si="2"/>
        <v>6</v>
      </c>
      <c r="AB8" s="45">
        <f t="shared" si="2"/>
        <v>7</v>
      </c>
      <c r="AC8" s="45">
        <f t="shared" si="2"/>
        <v>1</v>
      </c>
      <c r="AD8" s="45">
        <f t="shared" si="2"/>
        <v>2</v>
      </c>
      <c r="AE8" s="45">
        <f t="shared" si="2"/>
        <v>3</v>
      </c>
      <c r="AF8" s="45">
        <f t="shared" si="2"/>
        <v>4</v>
      </c>
      <c r="AG8" s="48">
        <f t="shared" si="2"/>
        <v>5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>FT</v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>FT</v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/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45658</v>
      </c>
      <c r="D78" s="95">
        <f t="shared" ref="D78:AG78" si="10">D7</f>
        <v>45659</v>
      </c>
      <c r="E78" s="95">
        <f t="shared" si="10"/>
        <v>45660</v>
      </c>
      <c r="F78" s="95">
        <f t="shared" si="10"/>
        <v>45661</v>
      </c>
      <c r="G78" s="95">
        <f t="shared" si="10"/>
        <v>45662</v>
      </c>
      <c r="H78" s="95">
        <f t="shared" si="10"/>
        <v>45663</v>
      </c>
      <c r="I78" s="95">
        <f t="shared" si="10"/>
        <v>45664</v>
      </c>
      <c r="J78" s="95">
        <f t="shared" si="10"/>
        <v>45665</v>
      </c>
      <c r="K78" s="95">
        <f t="shared" si="10"/>
        <v>45666</v>
      </c>
      <c r="L78" s="95">
        <f t="shared" si="10"/>
        <v>45667</v>
      </c>
      <c r="M78" s="95">
        <f t="shared" si="10"/>
        <v>45668</v>
      </c>
      <c r="N78" s="95">
        <f t="shared" si="10"/>
        <v>45669</v>
      </c>
      <c r="O78" s="95">
        <f t="shared" si="10"/>
        <v>45670</v>
      </c>
      <c r="P78" s="95">
        <f t="shared" si="10"/>
        <v>45671</v>
      </c>
      <c r="Q78" s="95">
        <f t="shared" si="10"/>
        <v>45672</v>
      </c>
      <c r="R78" s="95">
        <f t="shared" si="10"/>
        <v>45673</v>
      </c>
      <c r="S78" s="95">
        <f t="shared" si="10"/>
        <v>45674</v>
      </c>
      <c r="T78" s="95">
        <f t="shared" si="10"/>
        <v>45675</v>
      </c>
      <c r="U78" s="95">
        <f t="shared" si="10"/>
        <v>45676</v>
      </c>
      <c r="V78" s="95">
        <f t="shared" si="10"/>
        <v>45677</v>
      </c>
      <c r="W78" s="95">
        <f t="shared" si="10"/>
        <v>45678</v>
      </c>
      <c r="X78" s="95">
        <f t="shared" si="10"/>
        <v>45679</v>
      </c>
      <c r="Y78" s="95">
        <f t="shared" si="10"/>
        <v>45680</v>
      </c>
      <c r="Z78" s="95">
        <f t="shared" si="10"/>
        <v>45681</v>
      </c>
      <c r="AA78" s="95">
        <f t="shared" si="10"/>
        <v>45682</v>
      </c>
      <c r="AB78" s="95">
        <f t="shared" si="10"/>
        <v>45683</v>
      </c>
      <c r="AC78" s="95">
        <f t="shared" si="10"/>
        <v>45684</v>
      </c>
      <c r="AD78" s="95">
        <f t="shared" si="10"/>
        <v>45685</v>
      </c>
      <c r="AE78" s="95">
        <f t="shared" si="10"/>
        <v>45686</v>
      </c>
      <c r="AF78" s="95">
        <f t="shared" si="10"/>
        <v>45687</v>
      </c>
      <c r="AG78" s="95">
        <f t="shared" si="10"/>
        <v>45688</v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1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algorithmName="SHA-512" hashValue="EbF4UlcN0odwalizRboumswYEE9rjqDP6rZ2MZMTHBKcqyOv2+0Sk/Y9s9cq5KkQQjWEbsKuA/J6rbhG0Qk1mw==" saltValue="70dQn+CR8CEw1qfDzfu0KQ==" spinCount="100000" sheet="1" objects="1" scenarios="1"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611" priority="35" stopIfTrue="1" operator="equal">
      <formula>0</formula>
    </cfRule>
  </conditionalFormatting>
  <conditionalFormatting sqref="C6:AG9">
    <cfRule type="expression" dxfId="610" priority="33">
      <formula>C$9="FT"</formula>
    </cfRule>
    <cfRule type="expression" dxfId="609" priority="34">
      <formula>C$8&gt;5</formula>
    </cfRule>
  </conditionalFormatting>
  <conditionalFormatting sqref="B50">
    <cfRule type="expression" dxfId="608" priority="31">
      <formula>B$50="WS"</formula>
    </cfRule>
    <cfRule type="expression" dxfId="607" priority="32">
      <formula>B$50="SZ"</formula>
    </cfRule>
  </conditionalFormatting>
  <conditionalFormatting sqref="C10:AG49">
    <cfRule type="expression" dxfId="606" priority="4" stopIfTrue="1">
      <formula>C10="U"</formula>
    </cfRule>
    <cfRule type="expression" dxfId="605" priority="5">
      <formula>C10="K"</formula>
    </cfRule>
    <cfRule type="expression" dxfId="604" priority="6">
      <formula>C10="AWP"</formula>
    </cfRule>
    <cfRule type="expression" dxfId="603" priority="21" stopIfTrue="1">
      <formula>C10="TES"</formula>
    </cfRule>
    <cfRule type="expression" dxfId="602" priority="27" stopIfTrue="1">
      <formula>C10="S"</formula>
    </cfRule>
    <cfRule type="expression" dxfId="601" priority="28">
      <formula>C$9="FT"</formula>
    </cfRule>
    <cfRule type="expression" dxfId="600" priority="29">
      <formula>C$8&gt;5</formula>
    </cfRule>
    <cfRule type="expression" dxfId="599" priority="30" stopIfTrue="1">
      <formula>OR(C10="X",C10="FS")</formula>
    </cfRule>
  </conditionalFormatting>
  <conditionalFormatting sqref="C50:AG50">
    <cfRule type="expression" dxfId="598" priority="22" stopIfTrue="1">
      <formula>C$50="S"</formula>
    </cfRule>
  </conditionalFormatting>
  <conditionalFormatting sqref="AI10:AI49">
    <cfRule type="cellIs" dxfId="597" priority="25" stopIfTrue="1" operator="equal">
      <formula>0</formula>
    </cfRule>
    <cfRule type="cellIs" dxfId="596" priority="26" operator="greaterThan">
      <formula>0</formula>
    </cfRule>
  </conditionalFormatting>
  <conditionalFormatting sqref="AH10:AH49">
    <cfRule type="cellIs" dxfId="595" priority="24" operator="equal">
      <formula>0</formula>
    </cfRule>
  </conditionalFormatting>
  <conditionalFormatting sqref="AJ10:AJ49">
    <cfRule type="cellIs" dxfId="594" priority="23" operator="equal">
      <formula>0</formula>
    </cfRule>
  </conditionalFormatting>
  <conditionalFormatting sqref="C84:AG84">
    <cfRule type="expression" dxfId="593" priority="12" stopIfTrue="1">
      <formula>IF($B$84="",1,0)</formula>
    </cfRule>
    <cfRule type="expression" dxfId="592" priority="36" stopIfTrue="1">
      <formula>IF(C$84&lt;&gt;$C$104,1,0)</formula>
    </cfRule>
    <cfRule type="expression" dxfId="591" priority="37" stopIfTrue="1">
      <formula>IF(C$84=$C$104,1,0)</formula>
    </cfRule>
  </conditionalFormatting>
  <conditionalFormatting sqref="C85:AG85">
    <cfRule type="expression" dxfId="590" priority="13" stopIfTrue="1">
      <formula>IF($B$85="",1,0)</formula>
    </cfRule>
    <cfRule type="expression" dxfId="589" priority="38">
      <formula>IF(C$85=$C$105,1,0)</formula>
    </cfRule>
    <cfRule type="expression" dxfId="588" priority="39">
      <formula>IF(C$85&lt;&gt;$C$105,1,0)</formula>
    </cfRule>
  </conditionalFormatting>
  <conditionalFormatting sqref="C86:AG86">
    <cfRule type="expression" dxfId="587" priority="14" stopIfTrue="1">
      <formula>IF($B$86="",1,0)</formula>
    </cfRule>
    <cfRule type="expression" dxfId="586" priority="40" stopIfTrue="1">
      <formula>IF(C$86&lt;&gt;$C$106,1,0)</formula>
    </cfRule>
    <cfRule type="expression" dxfId="585" priority="41" stopIfTrue="1">
      <formula>IF(C$86=$C$106,1,0)</formula>
    </cfRule>
  </conditionalFormatting>
  <conditionalFormatting sqref="C79:AG79">
    <cfRule type="expression" dxfId="584" priority="7">
      <formula>IF($B$79="",1,0)</formula>
    </cfRule>
    <cfRule type="expression" dxfId="583" priority="42">
      <formula>IF(C$79=$C$99,1,0)</formula>
    </cfRule>
    <cfRule type="expression" dxfId="582" priority="43">
      <formula>IF(C$79&lt;&gt;$C$99,1,0)</formula>
    </cfRule>
  </conditionalFormatting>
  <conditionalFormatting sqref="C81:AG81">
    <cfRule type="expression" dxfId="581" priority="9">
      <formula>IF($B$81="",1,0)</formula>
    </cfRule>
    <cfRule type="expression" dxfId="580" priority="44">
      <formula>IF(C$81=$C$101,1,0)</formula>
    </cfRule>
    <cfRule type="expression" dxfId="579" priority="45">
      <formula>IF(C$81&lt;&gt;$C$101,1,0)</formula>
    </cfRule>
  </conditionalFormatting>
  <conditionalFormatting sqref="C80:AG80">
    <cfRule type="expression" dxfId="578" priority="8">
      <formula>IF($B$80="",1,0)</formula>
    </cfRule>
    <cfRule type="expression" dxfId="577" priority="46">
      <formula>IF(C$80&lt;&gt;$C$100,1,0)</formula>
    </cfRule>
    <cfRule type="expression" dxfId="576" priority="47">
      <formula>IF(C$80=$C$100,1,0)</formula>
    </cfRule>
  </conditionalFormatting>
  <conditionalFormatting sqref="C82:AG82">
    <cfRule type="expression" dxfId="575" priority="10">
      <formula>IF($B$82="",1,0)</formula>
    </cfRule>
    <cfRule type="expression" dxfId="574" priority="48">
      <formula>IF(C$82&lt;&gt;$C$102,1,0)</formula>
    </cfRule>
    <cfRule type="expression" dxfId="573" priority="49">
      <formula>IF(C$82=$C$102,1,0)</formula>
    </cfRule>
  </conditionalFormatting>
  <conditionalFormatting sqref="C83:AG83">
    <cfRule type="expression" dxfId="572" priority="11" stopIfTrue="1">
      <formula>IF($B$83="",1,0)</formula>
    </cfRule>
    <cfRule type="expression" dxfId="571" priority="50" stopIfTrue="1">
      <formula>IF(C$83=$C$103,1,0)</formula>
    </cfRule>
    <cfRule type="expression" dxfId="570" priority="51" stopIfTrue="1">
      <formula>IF(C$83&lt;&gt;$C$103,1,0)</formula>
    </cfRule>
  </conditionalFormatting>
  <conditionalFormatting sqref="C88:AG88">
    <cfRule type="expression" dxfId="569" priority="16" stopIfTrue="1">
      <formula>IF($B$88="",1,0)</formula>
    </cfRule>
    <cfRule type="expression" dxfId="568" priority="19" stopIfTrue="1">
      <formula>IF(C$88&lt;&gt;$C$108,1,0)</formula>
    </cfRule>
    <cfRule type="expression" dxfId="567" priority="20" stopIfTrue="1">
      <formula>IF(C$88=$C$108,1,0)</formula>
    </cfRule>
  </conditionalFormatting>
  <conditionalFormatting sqref="C87:AG87">
    <cfRule type="expression" dxfId="566" priority="15" stopIfTrue="1">
      <formula>IF($B$87="",1,0)</formula>
    </cfRule>
    <cfRule type="expression" dxfId="565" priority="17" stopIfTrue="1">
      <formula>IF(C$87&lt;&gt;$C$107,1,0)</formula>
    </cfRule>
    <cfRule type="expression" dxfId="564" priority="18" stopIfTrue="1">
      <formula>IF(C$87=$C$107,1,0)</formula>
    </cfRule>
  </conditionalFormatting>
  <conditionalFormatting sqref="C5:AG5">
    <cfRule type="expression" dxfId="563" priority="3">
      <formula>C5="SZ"</formula>
    </cfRule>
  </conditionalFormatting>
  <conditionalFormatting sqref="B5">
    <cfRule type="expression" dxfId="562" priority="1">
      <formula>B$50="WS"</formula>
    </cfRule>
    <cfRule type="expression" dxfId="561" priority="2">
      <formula>B$50="SZ"</formula>
    </cfRule>
  </conditionalFormatting>
  <dataValidations count="1">
    <dataValidation type="list" allowBlank="1" showInputMessage="1" showErrorMessage="1" sqref="B10:B49" xr:uid="{D4003190-0CA1-455A-9773-FF7BC27E13D0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DDAA8-3A5C-47ED-AD76-4119A833D5BF}">
  <sheetPr codeName="Dienstplan2">
    <tabColor theme="4"/>
    <pageSetUpPr fitToPage="1"/>
  </sheetPr>
  <dimension ref="A1:BB113"/>
  <sheetViews>
    <sheetView showGridLines="0" zoomScale="70" zoomScaleNormal="70" workbookViewId="0">
      <selection activeCell="C96" sqref="C96:H96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Februar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1.2.2025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45689</v>
      </c>
      <c r="D6" s="54">
        <f t="shared" ref="D6:AG6" si="0">IF(MONTH(DATE(YEAR($L$3),MONTH($L$3),COLUMN()-COLUMN($B6)))&gt;MONTH($L$3),"",DATE(YEAR($L$3),MONTH($L$3),COLUMN()-COLUMN($B6)))</f>
        <v>45690</v>
      </c>
      <c r="E6" s="54">
        <f t="shared" si="0"/>
        <v>45691</v>
      </c>
      <c r="F6" s="54">
        <f t="shared" si="0"/>
        <v>45692</v>
      </c>
      <c r="G6" s="54">
        <f t="shared" si="0"/>
        <v>45693</v>
      </c>
      <c r="H6" s="54">
        <f t="shared" si="0"/>
        <v>45694</v>
      </c>
      <c r="I6" s="54">
        <f t="shared" si="0"/>
        <v>45695</v>
      </c>
      <c r="J6" s="54">
        <f t="shared" si="0"/>
        <v>45696</v>
      </c>
      <c r="K6" s="54">
        <f t="shared" si="0"/>
        <v>45697</v>
      </c>
      <c r="L6" s="54">
        <f t="shared" si="0"/>
        <v>45698</v>
      </c>
      <c r="M6" s="54">
        <f t="shared" si="0"/>
        <v>45699</v>
      </c>
      <c r="N6" s="54">
        <f t="shared" si="0"/>
        <v>45700</v>
      </c>
      <c r="O6" s="54">
        <f t="shared" si="0"/>
        <v>45701</v>
      </c>
      <c r="P6" s="54">
        <f t="shared" si="0"/>
        <v>45702</v>
      </c>
      <c r="Q6" s="54">
        <f t="shared" si="0"/>
        <v>45703</v>
      </c>
      <c r="R6" s="54">
        <f t="shared" si="0"/>
        <v>45704</v>
      </c>
      <c r="S6" s="54">
        <f t="shared" si="0"/>
        <v>45705</v>
      </c>
      <c r="T6" s="54">
        <f t="shared" si="0"/>
        <v>45706</v>
      </c>
      <c r="U6" s="54">
        <f t="shared" si="0"/>
        <v>45707</v>
      </c>
      <c r="V6" s="54">
        <f t="shared" si="0"/>
        <v>45708</v>
      </c>
      <c r="W6" s="54">
        <f t="shared" si="0"/>
        <v>45709</v>
      </c>
      <c r="X6" s="54">
        <f t="shared" si="0"/>
        <v>45710</v>
      </c>
      <c r="Y6" s="54">
        <f t="shared" si="0"/>
        <v>45711</v>
      </c>
      <c r="Z6" s="54">
        <f t="shared" si="0"/>
        <v>45712</v>
      </c>
      <c r="AA6" s="54">
        <f t="shared" si="0"/>
        <v>45713</v>
      </c>
      <c r="AB6" s="54">
        <f t="shared" si="0"/>
        <v>45714</v>
      </c>
      <c r="AC6" s="54">
        <f t="shared" si="0"/>
        <v>45715</v>
      </c>
      <c r="AD6" s="54">
        <f t="shared" si="0"/>
        <v>45716</v>
      </c>
      <c r="AE6" s="54" t="str">
        <f t="shared" si="0"/>
        <v/>
      </c>
      <c r="AF6" s="54" t="str">
        <f t="shared" si="0"/>
        <v/>
      </c>
      <c r="AG6" s="55" t="str">
        <f t="shared" si="0"/>
        <v/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45689</v>
      </c>
      <c r="D7" s="57">
        <f t="shared" ref="D7:AG7" si="1">IF(MONTH(DATE(YEAR($L$3),MONTH($L$3),COLUMN()-COLUMN($B6)))&gt;MONTH($L$3),"",DATE(YEAR($L$3),MONTH($L$3),COLUMN()-COLUMN($B6)))</f>
        <v>45690</v>
      </c>
      <c r="E7" s="57">
        <f t="shared" si="1"/>
        <v>45691</v>
      </c>
      <c r="F7" s="57">
        <f t="shared" si="1"/>
        <v>45692</v>
      </c>
      <c r="G7" s="57">
        <f t="shared" si="1"/>
        <v>45693</v>
      </c>
      <c r="H7" s="57">
        <f t="shared" si="1"/>
        <v>45694</v>
      </c>
      <c r="I7" s="57">
        <f t="shared" si="1"/>
        <v>45695</v>
      </c>
      <c r="J7" s="57">
        <f t="shared" si="1"/>
        <v>45696</v>
      </c>
      <c r="K7" s="57">
        <f t="shared" si="1"/>
        <v>45697</v>
      </c>
      <c r="L7" s="57">
        <f t="shared" si="1"/>
        <v>45698</v>
      </c>
      <c r="M7" s="57">
        <f t="shared" si="1"/>
        <v>45699</v>
      </c>
      <c r="N7" s="57">
        <f t="shared" si="1"/>
        <v>45700</v>
      </c>
      <c r="O7" s="57">
        <f t="shared" si="1"/>
        <v>45701</v>
      </c>
      <c r="P7" s="57">
        <f t="shared" si="1"/>
        <v>45702</v>
      </c>
      <c r="Q7" s="57">
        <f t="shared" si="1"/>
        <v>45703</v>
      </c>
      <c r="R7" s="57">
        <f t="shared" si="1"/>
        <v>45704</v>
      </c>
      <c r="S7" s="57">
        <f t="shared" si="1"/>
        <v>45705</v>
      </c>
      <c r="T7" s="57">
        <f t="shared" si="1"/>
        <v>45706</v>
      </c>
      <c r="U7" s="57">
        <f t="shared" si="1"/>
        <v>45707</v>
      </c>
      <c r="V7" s="57">
        <f t="shared" si="1"/>
        <v>45708</v>
      </c>
      <c r="W7" s="57">
        <f t="shared" si="1"/>
        <v>45709</v>
      </c>
      <c r="X7" s="57">
        <f t="shared" si="1"/>
        <v>45710</v>
      </c>
      <c r="Y7" s="57">
        <f t="shared" si="1"/>
        <v>45711</v>
      </c>
      <c r="Z7" s="57">
        <f t="shared" si="1"/>
        <v>45712</v>
      </c>
      <c r="AA7" s="57">
        <f t="shared" si="1"/>
        <v>45713</v>
      </c>
      <c r="AB7" s="57">
        <f t="shared" si="1"/>
        <v>45714</v>
      </c>
      <c r="AC7" s="57">
        <f t="shared" si="1"/>
        <v>45715</v>
      </c>
      <c r="AD7" s="57">
        <f t="shared" si="1"/>
        <v>45716</v>
      </c>
      <c r="AE7" s="57" t="str">
        <f t="shared" si="1"/>
        <v/>
      </c>
      <c r="AF7" s="57" t="str">
        <f t="shared" si="1"/>
        <v/>
      </c>
      <c r="AG7" s="58" t="str">
        <f t="shared" si="1"/>
        <v/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6</v>
      </c>
      <c r="D8" s="45">
        <f>IFERROR(WEEKDAY(D6,2), 0)</f>
        <v>7</v>
      </c>
      <c r="E8" s="45">
        <f t="shared" ref="E8:AG8" si="2">IFERROR(WEEKDAY(E6,2), 0)</f>
        <v>1</v>
      </c>
      <c r="F8" s="45">
        <f t="shared" si="2"/>
        <v>2</v>
      </c>
      <c r="G8" s="45">
        <f t="shared" si="2"/>
        <v>3</v>
      </c>
      <c r="H8" s="45">
        <f t="shared" si="2"/>
        <v>4</v>
      </c>
      <c r="I8" s="45">
        <f t="shared" si="2"/>
        <v>5</v>
      </c>
      <c r="J8" s="45">
        <f t="shared" si="2"/>
        <v>6</v>
      </c>
      <c r="K8" s="45">
        <f t="shared" si="2"/>
        <v>7</v>
      </c>
      <c r="L8" s="45">
        <f t="shared" si="2"/>
        <v>1</v>
      </c>
      <c r="M8" s="45">
        <f t="shared" si="2"/>
        <v>2</v>
      </c>
      <c r="N8" s="45">
        <f t="shared" si="2"/>
        <v>3</v>
      </c>
      <c r="O8" s="45">
        <f t="shared" si="2"/>
        <v>4</v>
      </c>
      <c r="P8" s="45">
        <f t="shared" si="2"/>
        <v>5</v>
      </c>
      <c r="Q8" s="45">
        <f t="shared" si="2"/>
        <v>6</v>
      </c>
      <c r="R8" s="45">
        <f t="shared" si="2"/>
        <v>7</v>
      </c>
      <c r="S8" s="45">
        <f t="shared" si="2"/>
        <v>1</v>
      </c>
      <c r="T8" s="45">
        <f t="shared" si="2"/>
        <v>2</v>
      </c>
      <c r="U8" s="45">
        <f t="shared" si="2"/>
        <v>3</v>
      </c>
      <c r="V8" s="45">
        <f t="shared" si="2"/>
        <v>4</v>
      </c>
      <c r="W8" s="45">
        <f t="shared" si="2"/>
        <v>5</v>
      </c>
      <c r="X8" s="45">
        <f t="shared" si="2"/>
        <v>6</v>
      </c>
      <c r="Y8" s="45">
        <f t="shared" si="2"/>
        <v>7</v>
      </c>
      <c r="Z8" s="45">
        <f t="shared" si="2"/>
        <v>1</v>
      </c>
      <c r="AA8" s="45">
        <f t="shared" si="2"/>
        <v>2</v>
      </c>
      <c r="AB8" s="45">
        <f t="shared" si="2"/>
        <v>3</v>
      </c>
      <c r="AC8" s="45">
        <f t="shared" si="2"/>
        <v>4</v>
      </c>
      <c r="AD8" s="45">
        <f t="shared" si="2"/>
        <v>5</v>
      </c>
      <c r="AE8" s="45">
        <f t="shared" si="2"/>
        <v>0</v>
      </c>
      <c r="AF8" s="45">
        <f t="shared" si="2"/>
        <v>0</v>
      </c>
      <c r="AG8" s="48">
        <f t="shared" si="2"/>
        <v>0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/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/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45689</v>
      </c>
      <c r="D78" s="95">
        <f t="shared" ref="D78:AG78" si="10">D7</f>
        <v>45690</v>
      </c>
      <c r="E78" s="95">
        <f t="shared" si="10"/>
        <v>45691</v>
      </c>
      <c r="F78" s="95">
        <f t="shared" si="10"/>
        <v>45692</v>
      </c>
      <c r="G78" s="95">
        <f t="shared" si="10"/>
        <v>45693</v>
      </c>
      <c r="H78" s="95">
        <f t="shared" si="10"/>
        <v>45694</v>
      </c>
      <c r="I78" s="95">
        <f t="shared" si="10"/>
        <v>45695</v>
      </c>
      <c r="J78" s="95">
        <f t="shared" si="10"/>
        <v>45696</v>
      </c>
      <c r="K78" s="95">
        <f t="shared" si="10"/>
        <v>45697</v>
      </c>
      <c r="L78" s="95">
        <f t="shared" si="10"/>
        <v>45698</v>
      </c>
      <c r="M78" s="95">
        <f t="shared" si="10"/>
        <v>45699</v>
      </c>
      <c r="N78" s="95">
        <f t="shared" si="10"/>
        <v>45700</v>
      </c>
      <c r="O78" s="95">
        <f t="shared" si="10"/>
        <v>45701</v>
      </c>
      <c r="P78" s="95">
        <f t="shared" si="10"/>
        <v>45702</v>
      </c>
      <c r="Q78" s="95">
        <f t="shared" si="10"/>
        <v>45703</v>
      </c>
      <c r="R78" s="95">
        <f t="shared" si="10"/>
        <v>45704</v>
      </c>
      <c r="S78" s="95">
        <f t="shared" si="10"/>
        <v>45705</v>
      </c>
      <c r="T78" s="95">
        <f t="shared" si="10"/>
        <v>45706</v>
      </c>
      <c r="U78" s="95">
        <f t="shared" si="10"/>
        <v>45707</v>
      </c>
      <c r="V78" s="95">
        <f t="shared" si="10"/>
        <v>45708</v>
      </c>
      <c r="W78" s="95">
        <f t="shared" si="10"/>
        <v>45709</v>
      </c>
      <c r="X78" s="95">
        <f t="shared" si="10"/>
        <v>45710</v>
      </c>
      <c r="Y78" s="95">
        <f t="shared" si="10"/>
        <v>45711</v>
      </c>
      <c r="Z78" s="95">
        <f t="shared" si="10"/>
        <v>45712</v>
      </c>
      <c r="AA78" s="95">
        <f t="shared" si="10"/>
        <v>45713</v>
      </c>
      <c r="AB78" s="95">
        <f t="shared" si="10"/>
        <v>45714</v>
      </c>
      <c r="AC78" s="95">
        <f t="shared" si="10"/>
        <v>45715</v>
      </c>
      <c r="AD78" s="95">
        <f t="shared" si="10"/>
        <v>45716</v>
      </c>
      <c r="AE78" s="95" t="str">
        <f t="shared" si="10"/>
        <v/>
      </c>
      <c r="AF78" s="95" t="str">
        <f t="shared" si="10"/>
        <v/>
      </c>
      <c r="AG78" s="95" t="str">
        <f t="shared" si="10"/>
        <v/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2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algorithmName="SHA-512" hashValue="rq6n1Ysu2Eau01UjUC0RsZB2HnaOLm5i+srFZ1o7XpM06SrgiOf9sJvkJHgGbQGqqh0H7eb7MDu/bO5ELlThRA==" saltValue="g23vnGXxjMytMEI4M+1C+w==" spinCount="100000" sheet="1" objects="1" scenarios="1"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560" priority="35" stopIfTrue="1" operator="equal">
      <formula>0</formula>
    </cfRule>
  </conditionalFormatting>
  <conditionalFormatting sqref="C6:AG9">
    <cfRule type="expression" dxfId="559" priority="33">
      <formula>C$9="FT"</formula>
    </cfRule>
    <cfRule type="expression" dxfId="558" priority="34">
      <formula>C$8&gt;5</formula>
    </cfRule>
  </conditionalFormatting>
  <conditionalFormatting sqref="B50">
    <cfRule type="expression" dxfId="557" priority="31">
      <formula>B$50="WS"</formula>
    </cfRule>
    <cfRule type="expression" dxfId="556" priority="32">
      <formula>B$50="SZ"</formula>
    </cfRule>
  </conditionalFormatting>
  <conditionalFormatting sqref="C10:AG49">
    <cfRule type="expression" dxfId="555" priority="4" stopIfTrue="1">
      <formula>C10="U"</formula>
    </cfRule>
    <cfRule type="expression" dxfId="554" priority="5">
      <formula>C10="K"</formula>
    </cfRule>
    <cfRule type="expression" dxfId="553" priority="6">
      <formula>C10="AWP"</formula>
    </cfRule>
    <cfRule type="expression" dxfId="552" priority="21" stopIfTrue="1">
      <formula>C10="TES"</formula>
    </cfRule>
    <cfRule type="expression" dxfId="551" priority="27" stopIfTrue="1">
      <formula>C10="S"</formula>
    </cfRule>
    <cfRule type="expression" dxfId="550" priority="28">
      <formula>C$9="FT"</formula>
    </cfRule>
    <cfRule type="expression" dxfId="549" priority="29">
      <formula>C$8&gt;5</formula>
    </cfRule>
    <cfRule type="expression" dxfId="548" priority="30" stopIfTrue="1">
      <formula>OR(C10="X",C10="FS")</formula>
    </cfRule>
  </conditionalFormatting>
  <conditionalFormatting sqref="C50:AG50">
    <cfRule type="expression" dxfId="547" priority="22" stopIfTrue="1">
      <formula>C$50="S"</formula>
    </cfRule>
  </conditionalFormatting>
  <conditionalFormatting sqref="AI10:AI49">
    <cfRule type="cellIs" dxfId="546" priority="25" stopIfTrue="1" operator="equal">
      <formula>0</formula>
    </cfRule>
    <cfRule type="cellIs" dxfId="545" priority="26" operator="greaterThan">
      <formula>0</formula>
    </cfRule>
  </conditionalFormatting>
  <conditionalFormatting sqref="AH10:AH49">
    <cfRule type="cellIs" dxfId="544" priority="24" operator="equal">
      <formula>0</formula>
    </cfRule>
  </conditionalFormatting>
  <conditionalFormatting sqref="AJ10:AJ49">
    <cfRule type="cellIs" dxfId="543" priority="23" operator="equal">
      <formula>0</formula>
    </cfRule>
  </conditionalFormatting>
  <conditionalFormatting sqref="C84:AG84">
    <cfRule type="expression" dxfId="542" priority="12" stopIfTrue="1">
      <formula>IF($B$84="",1,0)</formula>
    </cfRule>
    <cfRule type="expression" dxfId="541" priority="36" stopIfTrue="1">
      <formula>IF(C$84&lt;&gt;$C$104,1,0)</formula>
    </cfRule>
    <cfRule type="expression" dxfId="540" priority="37" stopIfTrue="1">
      <formula>IF(C$84=$C$104,1,0)</formula>
    </cfRule>
  </conditionalFormatting>
  <conditionalFormatting sqref="C85:AG85">
    <cfRule type="expression" dxfId="539" priority="13" stopIfTrue="1">
      <formula>IF($B$85="",1,0)</formula>
    </cfRule>
    <cfRule type="expression" dxfId="538" priority="38">
      <formula>IF(C$85=$C$105,1,0)</formula>
    </cfRule>
    <cfRule type="expression" dxfId="537" priority="39">
      <formula>IF(C$85&lt;&gt;$C$105,1,0)</formula>
    </cfRule>
  </conditionalFormatting>
  <conditionalFormatting sqref="C86:AG86">
    <cfRule type="expression" dxfId="536" priority="14" stopIfTrue="1">
      <formula>IF($B$86="",1,0)</formula>
    </cfRule>
    <cfRule type="expression" dxfId="535" priority="40" stopIfTrue="1">
      <formula>IF(C$86&lt;&gt;$C$106,1,0)</formula>
    </cfRule>
    <cfRule type="expression" dxfId="534" priority="41" stopIfTrue="1">
      <formula>IF(C$86=$C$106,1,0)</formula>
    </cfRule>
  </conditionalFormatting>
  <conditionalFormatting sqref="C79:AG79">
    <cfRule type="expression" dxfId="533" priority="7">
      <formula>IF($B$79="",1,0)</formula>
    </cfRule>
    <cfRule type="expression" dxfId="532" priority="42">
      <formula>IF(C$79=$C$99,1,0)</formula>
    </cfRule>
    <cfRule type="expression" dxfId="531" priority="43">
      <formula>IF(C$79&lt;&gt;$C$99,1,0)</formula>
    </cfRule>
  </conditionalFormatting>
  <conditionalFormatting sqref="C81:AG81">
    <cfRule type="expression" dxfId="530" priority="9">
      <formula>IF($B$81="",1,0)</formula>
    </cfRule>
    <cfRule type="expression" dxfId="529" priority="44">
      <formula>IF(C$81=$C$101,1,0)</formula>
    </cfRule>
    <cfRule type="expression" dxfId="528" priority="45">
      <formula>IF(C$81&lt;&gt;$C$101,1,0)</formula>
    </cfRule>
  </conditionalFormatting>
  <conditionalFormatting sqref="C80:AG80">
    <cfRule type="expression" dxfId="527" priority="8">
      <formula>IF($B$80="",1,0)</formula>
    </cfRule>
    <cfRule type="expression" dxfId="526" priority="46">
      <formula>IF(C$80&lt;&gt;$C$100,1,0)</formula>
    </cfRule>
    <cfRule type="expression" dxfId="525" priority="47">
      <formula>IF(C$80=$C$100,1,0)</formula>
    </cfRule>
  </conditionalFormatting>
  <conditionalFormatting sqref="C82:AG82">
    <cfRule type="expression" dxfId="524" priority="10">
      <formula>IF($B$82="",1,0)</formula>
    </cfRule>
    <cfRule type="expression" dxfId="523" priority="48">
      <formula>IF(C$82&lt;&gt;$C$102,1,0)</formula>
    </cfRule>
    <cfRule type="expression" dxfId="522" priority="49">
      <formula>IF(C$82=$C$102,1,0)</formula>
    </cfRule>
  </conditionalFormatting>
  <conditionalFormatting sqref="C83:AG83">
    <cfRule type="expression" dxfId="521" priority="11" stopIfTrue="1">
      <formula>IF($B$83="",1,0)</formula>
    </cfRule>
    <cfRule type="expression" dxfId="520" priority="50" stopIfTrue="1">
      <formula>IF(C$83=$C$103,1,0)</formula>
    </cfRule>
    <cfRule type="expression" dxfId="519" priority="51" stopIfTrue="1">
      <formula>IF(C$83&lt;&gt;$C$103,1,0)</formula>
    </cfRule>
  </conditionalFormatting>
  <conditionalFormatting sqref="C88:AG88">
    <cfRule type="expression" dxfId="518" priority="16" stopIfTrue="1">
      <formula>IF($B$88="",1,0)</formula>
    </cfRule>
    <cfRule type="expression" dxfId="517" priority="19" stopIfTrue="1">
      <formula>IF(C$88&lt;&gt;$C$108,1,0)</formula>
    </cfRule>
    <cfRule type="expression" dxfId="516" priority="20" stopIfTrue="1">
      <formula>IF(C$88=$C$108,1,0)</formula>
    </cfRule>
  </conditionalFormatting>
  <conditionalFormatting sqref="C87:AG87">
    <cfRule type="expression" dxfId="515" priority="15" stopIfTrue="1">
      <formula>IF($B$87="",1,0)</formula>
    </cfRule>
    <cfRule type="expression" dxfId="514" priority="17" stopIfTrue="1">
      <formula>IF(C$87&lt;&gt;$C$107,1,0)</formula>
    </cfRule>
    <cfRule type="expression" dxfId="513" priority="18" stopIfTrue="1">
      <formula>IF(C$87=$C$107,1,0)</formula>
    </cfRule>
  </conditionalFormatting>
  <conditionalFormatting sqref="C5:AG5">
    <cfRule type="expression" dxfId="512" priority="3">
      <formula>C5="SZ"</formula>
    </cfRule>
  </conditionalFormatting>
  <conditionalFormatting sqref="B5">
    <cfRule type="expression" dxfId="511" priority="1">
      <formula>B$50="WS"</formula>
    </cfRule>
    <cfRule type="expression" dxfId="510" priority="2">
      <formula>B$50="SZ"</formula>
    </cfRule>
  </conditionalFormatting>
  <dataValidations count="1">
    <dataValidation type="list" allowBlank="1" showInputMessage="1" showErrorMessage="1" sqref="B10:B49" xr:uid="{3FC4E6F4-4B80-4213-80F1-4A0A2E866950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enstplan3">
    <tabColor theme="4"/>
    <pageSetUpPr fitToPage="1"/>
  </sheetPr>
  <dimension ref="A1:BB113"/>
  <sheetViews>
    <sheetView showGridLines="0" topLeftCell="A11" zoomScale="70" zoomScaleNormal="70" workbookViewId="0">
      <selection activeCell="G28" sqref="G28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März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1.3.2025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 t="s">
        <v>94</v>
      </c>
      <c r="G5" s="65"/>
      <c r="H5" s="65"/>
      <c r="I5" s="65"/>
      <c r="J5" s="65" t="s">
        <v>94</v>
      </c>
      <c r="K5" s="65"/>
      <c r="L5" s="65"/>
      <c r="M5" s="65"/>
      <c r="N5" s="65"/>
      <c r="O5" s="65"/>
      <c r="P5" s="65"/>
      <c r="Q5" s="65"/>
      <c r="R5" s="65"/>
      <c r="S5" s="65" t="s">
        <v>94</v>
      </c>
      <c r="T5" s="65"/>
      <c r="U5" s="65"/>
      <c r="V5" s="65" t="s">
        <v>94</v>
      </c>
      <c r="W5" s="228"/>
      <c r="X5" s="65"/>
      <c r="Y5" s="228"/>
      <c r="Z5" s="65"/>
      <c r="AA5" s="65"/>
      <c r="AB5" s="65"/>
      <c r="AC5" s="65"/>
      <c r="AD5" s="65"/>
      <c r="AE5" s="65" t="s">
        <v>94</v>
      </c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45717</v>
      </c>
      <c r="D6" s="54">
        <f t="shared" ref="D6:AG6" si="0">IF(MONTH(DATE(YEAR($L$3),MONTH($L$3),COLUMN()-COLUMN($B6)))&gt;MONTH($L$3),"",DATE(YEAR($L$3),MONTH($L$3),COLUMN()-COLUMN($B6)))</f>
        <v>45718</v>
      </c>
      <c r="E6" s="54">
        <f t="shared" si="0"/>
        <v>45719</v>
      </c>
      <c r="F6" s="54">
        <f t="shared" si="0"/>
        <v>45720</v>
      </c>
      <c r="G6" s="54">
        <f t="shared" si="0"/>
        <v>45721</v>
      </c>
      <c r="H6" s="54">
        <f t="shared" si="0"/>
        <v>45722</v>
      </c>
      <c r="I6" s="54">
        <f t="shared" si="0"/>
        <v>45723</v>
      </c>
      <c r="J6" s="54">
        <f t="shared" si="0"/>
        <v>45724</v>
      </c>
      <c r="K6" s="54">
        <f t="shared" si="0"/>
        <v>45725</v>
      </c>
      <c r="L6" s="54">
        <f t="shared" si="0"/>
        <v>45726</v>
      </c>
      <c r="M6" s="54">
        <f t="shared" si="0"/>
        <v>45727</v>
      </c>
      <c r="N6" s="54">
        <f t="shared" si="0"/>
        <v>45728</v>
      </c>
      <c r="O6" s="54">
        <f t="shared" si="0"/>
        <v>45729</v>
      </c>
      <c r="P6" s="54">
        <f t="shared" si="0"/>
        <v>45730</v>
      </c>
      <c r="Q6" s="54">
        <f t="shared" si="0"/>
        <v>45731</v>
      </c>
      <c r="R6" s="54">
        <f t="shared" si="0"/>
        <v>45732</v>
      </c>
      <c r="S6" s="54">
        <f t="shared" si="0"/>
        <v>45733</v>
      </c>
      <c r="T6" s="54">
        <f t="shared" si="0"/>
        <v>45734</v>
      </c>
      <c r="U6" s="54">
        <f t="shared" si="0"/>
        <v>45735</v>
      </c>
      <c r="V6" s="54">
        <f t="shared" si="0"/>
        <v>45736</v>
      </c>
      <c r="W6" s="54">
        <f t="shared" si="0"/>
        <v>45737</v>
      </c>
      <c r="X6" s="54">
        <f t="shared" si="0"/>
        <v>45738</v>
      </c>
      <c r="Y6" s="54">
        <f t="shared" si="0"/>
        <v>45739</v>
      </c>
      <c r="Z6" s="54">
        <f t="shared" si="0"/>
        <v>45740</v>
      </c>
      <c r="AA6" s="54">
        <f t="shared" si="0"/>
        <v>45741</v>
      </c>
      <c r="AB6" s="54">
        <f t="shared" si="0"/>
        <v>45742</v>
      </c>
      <c r="AC6" s="54">
        <f t="shared" si="0"/>
        <v>45743</v>
      </c>
      <c r="AD6" s="54">
        <f t="shared" si="0"/>
        <v>45744</v>
      </c>
      <c r="AE6" s="54">
        <f t="shared" si="0"/>
        <v>45745</v>
      </c>
      <c r="AF6" s="54">
        <f t="shared" si="0"/>
        <v>45746</v>
      </c>
      <c r="AG6" s="55">
        <f t="shared" si="0"/>
        <v>45747</v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45717</v>
      </c>
      <c r="D7" s="57">
        <f t="shared" ref="D7:AG7" si="1">IF(MONTH(DATE(YEAR($L$3),MONTH($L$3),COLUMN()-COLUMN($B6)))&gt;MONTH($L$3),"",DATE(YEAR($L$3),MONTH($L$3),COLUMN()-COLUMN($B6)))</f>
        <v>45718</v>
      </c>
      <c r="E7" s="57">
        <f t="shared" si="1"/>
        <v>45719</v>
      </c>
      <c r="F7" s="57">
        <f t="shared" si="1"/>
        <v>45720</v>
      </c>
      <c r="G7" s="57">
        <f t="shared" si="1"/>
        <v>45721</v>
      </c>
      <c r="H7" s="57">
        <f t="shared" si="1"/>
        <v>45722</v>
      </c>
      <c r="I7" s="57">
        <f t="shared" si="1"/>
        <v>45723</v>
      </c>
      <c r="J7" s="57">
        <f t="shared" si="1"/>
        <v>45724</v>
      </c>
      <c r="K7" s="57">
        <f t="shared" si="1"/>
        <v>45725</v>
      </c>
      <c r="L7" s="57">
        <f t="shared" si="1"/>
        <v>45726</v>
      </c>
      <c r="M7" s="57">
        <f t="shared" si="1"/>
        <v>45727</v>
      </c>
      <c r="N7" s="57">
        <f t="shared" si="1"/>
        <v>45728</v>
      </c>
      <c r="O7" s="57">
        <f t="shared" si="1"/>
        <v>45729</v>
      </c>
      <c r="P7" s="57">
        <f t="shared" si="1"/>
        <v>45730</v>
      </c>
      <c r="Q7" s="57">
        <f t="shared" si="1"/>
        <v>45731</v>
      </c>
      <c r="R7" s="57">
        <f t="shared" si="1"/>
        <v>45732</v>
      </c>
      <c r="S7" s="57">
        <f t="shared" si="1"/>
        <v>45733</v>
      </c>
      <c r="T7" s="57">
        <f t="shared" si="1"/>
        <v>45734</v>
      </c>
      <c r="U7" s="57">
        <f t="shared" si="1"/>
        <v>45735</v>
      </c>
      <c r="V7" s="57">
        <f t="shared" si="1"/>
        <v>45736</v>
      </c>
      <c r="W7" s="57">
        <f t="shared" si="1"/>
        <v>45737</v>
      </c>
      <c r="X7" s="57">
        <f t="shared" si="1"/>
        <v>45738</v>
      </c>
      <c r="Y7" s="57">
        <f t="shared" si="1"/>
        <v>45739</v>
      </c>
      <c r="Z7" s="57">
        <f t="shared" si="1"/>
        <v>45740</v>
      </c>
      <c r="AA7" s="57">
        <f t="shared" si="1"/>
        <v>45741</v>
      </c>
      <c r="AB7" s="57">
        <f t="shared" si="1"/>
        <v>45742</v>
      </c>
      <c r="AC7" s="57">
        <f t="shared" si="1"/>
        <v>45743</v>
      </c>
      <c r="AD7" s="57">
        <f t="shared" si="1"/>
        <v>45744</v>
      </c>
      <c r="AE7" s="57">
        <f t="shared" si="1"/>
        <v>45745</v>
      </c>
      <c r="AF7" s="57">
        <f t="shared" si="1"/>
        <v>45746</v>
      </c>
      <c r="AG7" s="58">
        <f t="shared" si="1"/>
        <v>45747</v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6</v>
      </c>
      <c r="D8" s="45">
        <f>IFERROR(WEEKDAY(D6,2), 0)</f>
        <v>7</v>
      </c>
      <c r="E8" s="45">
        <f t="shared" ref="E8:AG8" si="2">IFERROR(WEEKDAY(E6,2), 0)</f>
        <v>1</v>
      </c>
      <c r="F8" s="45">
        <f t="shared" si="2"/>
        <v>2</v>
      </c>
      <c r="G8" s="45">
        <f t="shared" si="2"/>
        <v>3</v>
      </c>
      <c r="H8" s="45">
        <f t="shared" si="2"/>
        <v>4</v>
      </c>
      <c r="I8" s="45">
        <f t="shared" si="2"/>
        <v>5</v>
      </c>
      <c r="J8" s="45">
        <f t="shared" si="2"/>
        <v>6</v>
      </c>
      <c r="K8" s="45">
        <f t="shared" si="2"/>
        <v>7</v>
      </c>
      <c r="L8" s="45">
        <f t="shared" si="2"/>
        <v>1</v>
      </c>
      <c r="M8" s="45">
        <f t="shared" si="2"/>
        <v>2</v>
      </c>
      <c r="N8" s="45">
        <f t="shared" si="2"/>
        <v>3</v>
      </c>
      <c r="O8" s="45">
        <f t="shared" si="2"/>
        <v>4</v>
      </c>
      <c r="P8" s="45">
        <f t="shared" si="2"/>
        <v>5</v>
      </c>
      <c r="Q8" s="45">
        <f t="shared" si="2"/>
        <v>6</v>
      </c>
      <c r="R8" s="45">
        <f t="shared" si="2"/>
        <v>7</v>
      </c>
      <c r="S8" s="45">
        <f t="shared" si="2"/>
        <v>1</v>
      </c>
      <c r="T8" s="45">
        <f t="shared" si="2"/>
        <v>2</v>
      </c>
      <c r="U8" s="45">
        <f t="shared" si="2"/>
        <v>3</v>
      </c>
      <c r="V8" s="45">
        <f t="shared" si="2"/>
        <v>4</v>
      </c>
      <c r="W8" s="45">
        <f t="shared" si="2"/>
        <v>5</v>
      </c>
      <c r="X8" s="45">
        <f t="shared" si="2"/>
        <v>6</v>
      </c>
      <c r="Y8" s="45">
        <f t="shared" si="2"/>
        <v>7</v>
      </c>
      <c r="Z8" s="45">
        <f t="shared" si="2"/>
        <v>1</v>
      </c>
      <c r="AA8" s="45">
        <f t="shared" si="2"/>
        <v>2</v>
      </c>
      <c r="AB8" s="45">
        <f t="shared" si="2"/>
        <v>3</v>
      </c>
      <c r="AC8" s="45">
        <f t="shared" si="2"/>
        <v>4</v>
      </c>
      <c r="AD8" s="45">
        <f t="shared" si="2"/>
        <v>5</v>
      </c>
      <c r="AE8" s="45">
        <f t="shared" si="2"/>
        <v>6</v>
      </c>
      <c r="AF8" s="45">
        <f t="shared" si="2"/>
        <v>7</v>
      </c>
      <c r="AG8" s="48">
        <f t="shared" si="2"/>
        <v>1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/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/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 t="s">
        <v>65</v>
      </c>
      <c r="D10" s="156"/>
      <c r="E10" s="156" t="s">
        <v>65</v>
      </c>
      <c r="F10" s="156" t="s">
        <v>92</v>
      </c>
      <c r="G10" s="156" t="s">
        <v>90</v>
      </c>
      <c r="H10" s="156"/>
      <c r="I10" s="156"/>
      <c r="J10" s="156"/>
      <c r="K10" s="156" t="s">
        <v>90</v>
      </c>
      <c r="L10" s="156"/>
      <c r="M10" s="156"/>
      <c r="N10" s="156" t="s">
        <v>90</v>
      </c>
      <c r="O10" s="156"/>
      <c r="P10" s="156"/>
      <c r="Q10" s="156" t="s">
        <v>90</v>
      </c>
      <c r="R10" s="156"/>
      <c r="S10" s="156"/>
      <c r="T10" s="156" t="s">
        <v>90</v>
      </c>
      <c r="U10" s="156"/>
      <c r="V10" s="156"/>
      <c r="W10" s="156" t="s">
        <v>90</v>
      </c>
      <c r="X10" s="156"/>
      <c r="Y10" s="156"/>
      <c r="Z10" s="156"/>
      <c r="AA10" s="156"/>
      <c r="AB10" s="156" t="s">
        <v>90</v>
      </c>
      <c r="AC10" s="156"/>
      <c r="AD10" s="156"/>
      <c r="AE10" s="156" t="s">
        <v>90</v>
      </c>
      <c r="AF10" s="156"/>
      <c r="AG10" s="157"/>
      <c r="AH10" s="93" cm="1">
        <f t="array" ref="AH10">IF(SUMPRODUCT(ISNUMBER(MATCH($C10:$AG10, Tagschichten, 0)) * 1)=0, "", SUMPRODUCT(ISNUMBER(MATCH($C10:$AG10, Tagschichten, 0)) * 1))</f>
        <v>8</v>
      </c>
      <c r="AI10" s="178">
        <f>IF(ISNUMBER(AH10),AH10*24,0)</f>
        <v>192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 t="s">
        <v>90</v>
      </c>
      <c r="G11" s="159"/>
      <c r="H11" s="159"/>
      <c r="I11" s="159" t="s">
        <v>90</v>
      </c>
      <c r="J11" s="159"/>
      <c r="K11" s="159"/>
      <c r="L11" s="159" t="s">
        <v>90</v>
      </c>
      <c r="M11" s="159"/>
      <c r="N11" s="159"/>
      <c r="O11" s="159" t="s">
        <v>90</v>
      </c>
      <c r="P11" s="159"/>
      <c r="Q11" s="159"/>
      <c r="R11" s="159" t="s">
        <v>90</v>
      </c>
      <c r="S11" s="159"/>
      <c r="T11" s="159"/>
      <c r="U11" s="159" t="s">
        <v>90</v>
      </c>
      <c r="V11" s="159"/>
      <c r="W11" s="159" t="s">
        <v>99</v>
      </c>
      <c r="X11" s="159"/>
      <c r="Y11" s="159" t="s">
        <v>90</v>
      </c>
      <c r="Z11" s="159"/>
      <c r="AA11" s="159"/>
      <c r="AB11" s="159" t="s">
        <v>91</v>
      </c>
      <c r="AC11" s="159"/>
      <c r="AD11" s="159"/>
      <c r="AE11" s="159" t="s">
        <v>91</v>
      </c>
      <c r="AF11" s="159"/>
      <c r="AG11" s="160"/>
      <c r="AH11" s="93" cm="1">
        <f t="array" ref="AH11">SUMPRODUCT(ISNUMBER(MATCH($C11:$AG11, Tagschichten, 0)) * 1)</f>
        <v>9</v>
      </c>
      <c r="AI11" s="178">
        <f t="shared" ref="AI11:AI49" si="5">IF(ISNUMBER(AH11),AH11*24,0)</f>
        <v>216</v>
      </c>
      <c r="AJ11" s="168">
        <f t="shared" ref="AJ11:AJ49" si="6">COUNTIF($C11:$AG11,"U")</f>
        <v>0</v>
      </c>
      <c r="AK11" s="169">
        <f t="shared" ref="AK11:AK26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 t="s">
        <v>17</v>
      </c>
      <c r="G12" s="161"/>
      <c r="H12" s="159"/>
      <c r="I12" s="159"/>
      <c r="J12" s="159"/>
      <c r="K12" s="159" t="s">
        <v>91</v>
      </c>
      <c r="L12" s="159"/>
      <c r="M12" s="159"/>
      <c r="N12" s="159"/>
      <c r="O12" s="159" t="s">
        <v>91</v>
      </c>
      <c r="P12" s="159"/>
      <c r="Q12" s="159"/>
      <c r="R12" s="159"/>
      <c r="S12" s="159" t="s">
        <v>90</v>
      </c>
      <c r="T12" s="159"/>
      <c r="U12" s="159"/>
      <c r="V12" s="159"/>
      <c r="W12" s="159" t="s">
        <v>91</v>
      </c>
      <c r="X12" s="159"/>
      <c r="Y12" s="159"/>
      <c r="Z12" s="159" t="s">
        <v>90</v>
      </c>
      <c r="AA12" s="159"/>
      <c r="AB12" s="159"/>
      <c r="AC12" s="159" t="s">
        <v>90</v>
      </c>
      <c r="AD12" s="159"/>
      <c r="AE12" s="159"/>
      <c r="AF12" s="159" t="s">
        <v>90</v>
      </c>
      <c r="AG12" s="160"/>
      <c r="AH12" s="93" cm="1">
        <f t="array" ref="AH12">SUMPRODUCT(ISNUMBER(MATCH($C12:$AG12, Tagschichten, 0)) * 1)</f>
        <v>7</v>
      </c>
      <c r="AI12" s="178">
        <f t="shared" si="5"/>
        <v>168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 t="s">
        <v>91</v>
      </c>
      <c r="G13" s="159"/>
      <c r="H13" s="159"/>
      <c r="I13" s="159"/>
      <c r="J13" s="159" t="s">
        <v>90</v>
      </c>
      <c r="K13" s="159"/>
      <c r="L13" s="159"/>
      <c r="M13" s="159"/>
      <c r="N13" s="159" t="s">
        <v>91</v>
      </c>
      <c r="O13" s="159"/>
      <c r="P13" s="159"/>
      <c r="Q13" s="159"/>
      <c r="R13" s="159" t="s">
        <v>91</v>
      </c>
      <c r="S13" s="159"/>
      <c r="T13" s="159"/>
      <c r="U13" s="159"/>
      <c r="V13" s="159" t="s">
        <v>90</v>
      </c>
      <c r="W13" s="159"/>
      <c r="X13" s="159"/>
      <c r="Y13" s="159"/>
      <c r="Z13" s="159" t="s">
        <v>91</v>
      </c>
      <c r="AA13" s="159"/>
      <c r="AB13" s="159"/>
      <c r="AC13" s="159"/>
      <c r="AD13" s="159" t="s">
        <v>90</v>
      </c>
      <c r="AE13" s="159"/>
      <c r="AF13" s="159"/>
      <c r="AG13" s="160" t="s">
        <v>90</v>
      </c>
      <c r="AH13" s="93" cm="1">
        <f t="array" ref="AH13">SUMPRODUCT(ISNUMBER(MATCH($C13:$AG13, Tagschichten, 0)) * 1)</f>
        <v>8</v>
      </c>
      <c r="AI13" s="178">
        <f t="shared" si="5"/>
        <v>192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 t="s">
        <v>90</v>
      </c>
      <c r="I14" s="159"/>
      <c r="J14" s="159" t="s">
        <v>91</v>
      </c>
      <c r="K14" s="159"/>
      <c r="L14" s="159"/>
      <c r="M14" s="159"/>
      <c r="N14" s="159"/>
      <c r="O14" s="159" t="s">
        <v>91</v>
      </c>
      <c r="P14" s="159"/>
      <c r="Q14" s="159"/>
      <c r="R14" s="159"/>
      <c r="S14" s="159" t="s">
        <v>91</v>
      </c>
      <c r="T14" s="159" t="s">
        <v>65</v>
      </c>
      <c r="U14" s="159" t="s">
        <v>65</v>
      </c>
      <c r="V14" s="159" t="s">
        <v>65</v>
      </c>
      <c r="W14" s="159" t="s">
        <v>91</v>
      </c>
      <c r="X14" s="159"/>
      <c r="Y14" s="159" t="s">
        <v>65</v>
      </c>
      <c r="Z14" s="159" t="s">
        <v>91</v>
      </c>
      <c r="AA14" s="159" t="s">
        <v>65</v>
      </c>
      <c r="AB14" s="159"/>
      <c r="AC14" s="159" t="s">
        <v>91</v>
      </c>
      <c r="AD14" s="159"/>
      <c r="AE14" s="159"/>
      <c r="AF14" s="159" t="s">
        <v>91</v>
      </c>
      <c r="AG14" s="160"/>
      <c r="AH14" s="93" cm="1">
        <f t="array" ref="AH14">SUMPRODUCT(ISNUMBER(MATCH($C14:$AG14, Tagschichten, 0)) * 1)</f>
        <v>8</v>
      </c>
      <c r="AI14" s="178">
        <f t="shared" si="5"/>
        <v>192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 t="s">
        <v>17</v>
      </c>
      <c r="G15" s="159" t="s">
        <v>91</v>
      </c>
      <c r="H15" s="159"/>
      <c r="I15" s="159"/>
      <c r="J15" s="159"/>
      <c r="K15" s="159"/>
      <c r="L15" s="159" t="s">
        <v>91</v>
      </c>
      <c r="M15" s="159"/>
      <c r="N15" s="159"/>
      <c r="O15" s="159"/>
      <c r="P15" s="159" t="s">
        <v>90</v>
      </c>
      <c r="Q15" s="159"/>
      <c r="R15" s="159"/>
      <c r="S15" s="159"/>
      <c r="T15" s="159" t="s">
        <v>91</v>
      </c>
      <c r="U15" s="159"/>
      <c r="V15" s="159"/>
      <c r="W15" s="159" t="s">
        <v>91</v>
      </c>
      <c r="X15" s="159"/>
      <c r="Y15" s="159"/>
      <c r="Z15" s="159" t="s">
        <v>18</v>
      </c>
      <c r="AA15" s="159" t="s">
        <v>18</v>
      </c>
      <c r="AB15" s="159" t="s">
        <v>18</v>
      </c>
      <c r="AC15" s="159" t="s">
        <v>18</v>
      </c>
      <c r="AD15" s="159" t="s">
        <v>18</v>
      </c>
      <c r="AE15" s="159" t="s">
        <v>18</v>
      </c>
      <c r="AF15" s="159" t="s">
        <v>65</v>
      </c>
      <c r="AG15" s="160" t="s">
        <v>91</v>
      </c>
      <c r="AH15" s="93" cm="1">
        <f t="array" ref="AH15">SUMPRODUCT(ISNUMBER(MATCH($C15:$AG15, Tagschichten, 0)) * 1)</f>
        <v>6</v>
      </c>
      <c r="AI15" s="178">
        <f t="shared" si="5"/>
        <v>144</v>
      </c>
      <c r="AJ15" s="168">
        <f t="shared" si="6"/>
        <v>6</v>
      </c>
      <c r="AK15" s="169">
        <f t="shared" si="7"/>
        <v>0</v>
      </c>
      <c r="AN15" s="2">
        <v>0</v>
      </c>
      <c r="AO15" s="2">
        <f t="shared" si="3"/>
        <v>6</v>
      </c>
      <c r="AP15" s="2">
        <f t="shared" si="4"/>
        <v>-6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 t="s">
        <v>93</v>
      </c>
      <c r="G16" s="159"/>
      <c r="H16" s="159"/>
      <c r="I16" s="159" t="s">
        <v>91</v>
      </c>
      <c r="J16" s="159"/>
      <c r="K16" s="159"/>
      <c r="L16" s="159"/>
      <c r="M16" s="159" t="s">
        <v>90</v>
      </c>
      <c r="N16" s="159"/>
      <c r="O16" s="159"/>
      <c r="P16" s="159"/>
      <c r="Q16" s="159" t="s">
        <v>91</v>
      </c>
      <c r="R16" s="159"/>
      <c r="S16" s="159"/>
      <c r="T16" s="159"/>
      <c r="U16" s="159" t="s">
        <v>91</v>
      </c>
      <c r="V16" s="159"/>
      <c r="W16" s="159"/>
      <c r="X16" s="159" t="s">
        <v>90</v>
      </c>
      <c r="Y16" s="159"/>
      <c r="Z16" s="159"/>
      <c r="AA16" s="159" t="s">
        <v>90</v>
      </c>
      <c r="AB16" s="159"/>
      <c r="AC16" s="159"/>
      <c r="AD16" s="159" t="s">
        <v>91</v>
      </c>
      <c r="AE16" s="159"/>
      <c r="AF16" s="159"/>
      <c r="AG16" s="160" t="s">
        <v>91</v>
      </c>
      <c r="AH16" s="93" cm="1">
        <f t="array" ref="AH16">SUMPRODUCT(ISNUMBER(MATCH($C16:$AG16, Tagschichten, 0)) * 1)</f>
        <v>8</v>
      </c>
      <c r="AI16" s="178">
        <f t="shared" si="5"/>
        <v>192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 t="s">
        <v>91</v>
      </c>
      <c r="H17" s="159"/>
      <c r="I17" s="159"/>
      <c r="J17" s="159"/>
      <c r="K17" s="159"/>
      <c r="L17" s="159"/>
      <c r="M17" s="159" t="s">
        <v>91</v>
      </c>
      <c r="N17" s="159"/>
      <c r="O17" s="159"/>
      <c r="P17" s="159"/>
      <c r="Q17" s="159" t="s">
        <v>91</v>
      </c>
      <c r="R17" s="159"/>
      <c r="S17" s="159"/>
      <c r="T17" s="159"/>
      <c r="U17" s="159" t="s">
        <v>91</v>
      </c>
      <c r="V17" s="159"/>
      <c r="W17" s="159"/>
      <c r="X17" s="159"/>
      <c r="Y17" s="159" t="s">
        <v>91</v>
      </c>
      <c r="Z17" s="159"/>
      <c r="AA17" s="159"/>
      <c r="AB17" s="159" t="s">
        <v>91</v>
      </c>
      <c r="AC17" s="159"/>
      <c r="AD17" s="159"/>
      <c r="AE17" s="159" t="s">
        <v>91</v>
      </c>
      <c r="AF17" s="159"/>
      <c r="AG17" s="160"/>
      <c r="AH17" s="93" cm="1">
        <f t="array" ref="AH17">SUMPRODUCT(ISNUMBER(MATCH($C17:$AG17, Tagschichten, 0)) * 1)</f>
        <v>7</v>
      </c>
      <c r="AI17" s="178">
        <f t="shared" si="5"/>
        <v>168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 t="s">
        <v>91</v>
      </c>
      <c r="I18" s="159"/>
      <c r="J18" s="159"/>
      <c r="K18" s="159"/>
      <c r="L18" s="159"/>
      <c r="M18" s="159"/>
      <c r="N18" s="159"/>
      <c r="O18" s="159"/>
      <c r="P18" s="159" t="s">
        <v>91</v>
      </c>
      <c r="Q18" s="159"/>
      <c r="R18" s="159"/>
      <c r="S18" s="159"/>
      <c r="T18" s="159" t="s">
        <v>91</v>
      </c>
      <c r="U18" s="159"/>
      <c r="V18" s="159"/>
      <c r="W18" s="159"/>
      <c r="X18" s="159" t="s">
        <v>91</v>
      </c>
      <c r="Y18" s="159"/>
      <c r="Z18" s="159"/>
      <c r="AA18" s="159" t="s">
        <v>91</v>
      </c>
      <c r="AB18" s="159"/>
      <c r="AC18" s="159"/>
      <c r="AD18" s="159" t="s">
        <v>91</v>
      </c>
      <c r="AE18" s="159"/>
      <c r="AF18" s="159"/>
      <c r="AG18" s="160" t="s">
        <v>91</v>
      </c>
      <c r="AH18" s="93" cm="1">
        <f t="array" ref="AH18">SUMPRODUCT(ISNUMBER(MATCH($C18:$AG18, Tagschichten, 0)) * 1)</f>
        <v>7</v>
      </c>
      <c r="AI18" s="178">
        <f t="shared" si="5"/>
        <v>168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 t="s">
        <v>65</v>
      </c>
      <c r="D19" s="159"/>
      <c r="E19" s="159"/>
      <c r="F19" s="159" t="s">
        <v>91</v>
      </c>
      <c r="G19" s="159"/>
      <c r="H19" s="159"/>
      <c r="I19" s="159" t="s">
        <v>91</v>
      </c>
      <c r="J19" s="159"/>
      <c r="K19" s="159"/>
      <c r="L19" s="159"/>
      <c r="M19" s="159"/>
      <c r="N19" s="159" t="s">
        <v>91</v>
      </c>
      <c r="O19" s="159"/>
      <c r="P19" s="159"/>
      <c r="Q19" s="159"/>
      <c r="R19" s="159" t="s">
        <v>91</v>
      </c>
      <c r="S19" s="159"/>
      <c r="T19" s="159"/>
      <c r="U19" s="159"/>
      <c r="V19" s="159" t="s">
        <v>91</v>
      </c>
      <c r="W19" s="159"/>
      <c r="X19" s="159"/>
      <c r="Y19" s="159" t="s">
        <v>91</v>
      </c>
      <c r="Z19" s="159"/>
      <c r="AA19" s="159"/>
      <c r="AB19" s="159"/>
      <c r="AC19" s="159" t="s">
        <v>91</v>
      </c>
      <c r="AD19" s="159"/>
      <c r="AE19" s="159"/>
      <c r="AF19" s="159" t="s">
        <v>91</v>
      </c>
      <c r="AG19" s="160"/>
      <c r="AH19" s="93" cm="1">
        <f t="array" ref="AH19">SUMPRODUCT(ISNUMBER(MATCH($C19:$AG19, Tagschichten, 0)) * 1)</f>
        <v>8</v>
      </c>
      <c r="AI19" s="178">
        <f t="shared" si="5"/>
        <v>192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 t="s">
        <v>91</v>
      </c>
      <c r="K20" s="159"/>
      <c r="L20" s="159"/>
      <c r="M20" s="159" t="s">
        <v>91</v>
      </c>
      <c r="N20" s="159"/>
      <c r="O20" s="159" t="s">
        <v>91</v>
      </c>
      <c r="P20" s="159"/>
      <c r="Q20" s="159"/>
      <c r="R20" s="159" t="s">
        <v>91</v>
      </c>
      <c r="S20" s="159"/>
      <c r="T20" s="159"/>
      <c r="U20" s="159" t="s">
        <v>91</v>
      </c>
      <c r="V20" s="159"/>
      <c r="W20" s="159"/>
      <c r="X20" s="159" t="s">
        <v>91</v>
      </c>
      <c r="Y20" s="159"/>
      <c r="Z20" s="159"/>
      <c r="AA20" s="159" t="s">
        <v>91</v>
      </c>
      <c r="AB20" s="159"/>
      <c r="AC20" s="159"/>
      <c r="AD20" s="159"/>
      <c r="AE20" s="159"/>
      <c r="AF20" s="159" t="s">
        <v>91</v>
      </c>
      <c r="AG20" s="160"/>
      <c r="AH20" s="93" cm="1">
        <f t="array" ref="AH20">SUMPRODUCT(ISNUMBER(MATCH($C20:$AG20, Tagschichten, 0)) * 1)</f>
        <v>8</v>
      </c>
      <c r="AI20" s="178">
        <f t="shared" si="5"/>
        <v>192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 t="s">
        <v>91</v>
      </c>
      <c r="J21" s="159"/>
      <c r="K21" s="159"/>
      <c r="L21" s="159" t="s">
        <v>91</v>
      </c>
      <c r="M21" s="159"/>
      <c r="N21" s="159"/>
      <c r="O21" s="159"/>
      <c r="P21" s="159" t="s">
        <v>91</v>
      </c>
      <c r="Q21" s="159"/>
      <c r="R21" s="159"/>
      <c r="S21" s="159" t="s">
        <v>91</v>
      </c>
      <c r="T21" s="159"/>
      <c r="U21" s="159"/>
      <c r="V21" s="159" t="s">
        <v>91</v>
      </c>
      <c r="W21" s="159"/>
      <c r="X21" s="159"/>
      <c r="Y21" s="159" t="s">
        <v>91</v>
      </c>
      <c r="Z21" s="159"/>
      <c r="AA21" s="159"/>
      <c r="AB21" s="159" t="s">
        <v>91</v>
      </c>
      <c r="AC21" s="159"/>
      <c r="AD21" s="159"/>
      <c r="AE21" s="159" t="s">
        <v>91</v>
      </c>
      <c r="AF21" s="159"/>
      <c r="AG21" s="160"/>
      <c r="AH21" s="93" cm="1">
        <f t="array" ref="AH21">SUMPRODUCT(ISNUMBER(MATCH($C21:$AG21, Tagschichten, 0)) * 1)</f>
        <v>8</v>
      </c>
      <c r="AI21" s="178">
        <f t="shared" si="5"/>
        <v>192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 t="s">
        <v>91</v>
      </c>
      <c r="I22" s="159"/>
      <c r="J22" s="159" t="s">
        <v>91</v>
      </c>
      <c r="K22" s="159"/>
      <c r="L22" s="159" t="s">
        <v>91</v>
      </c>
      <c r="M22" s="159"/>
      <c r="N22" s="159"/>
      <c r="O22" s="159"/>
      <c r="P22" s="159" t="s">
        <v>91</v>
      </c>
      <c r="Q22" s="159"/>
      <c r="R22" s="159"/>
      <c r="S22" s="159" t="s">
        <v>91</v>
      </c>
      <c r="T22" s="159"/>
      <c r="U22" s="159"/>
      <c r="V22" s="159" t="s">
        <v>91</v>
      </c>
      <c r="W22" s="159"/>
      <c r="X22" s="159"/>
      <c r="Y22" s="159"/>
      <c r="Z22" s="159" t="s">
        <v>91</v>
      </c>
      <c r="AA22" s="159"/>
      <c r="AB22" s="159"/>
      <c r="AC22" s="159" t="s">
        <v>91</v>
      </c>
      <c r="AD22" s="159"/>
      <c r="AE22" s="159"/>
      <c r="AF22" s="159"/>
      <c r="AG22" s="160"/>
      <c r="AH22" s="93" cm="1">
        <f t="array" ref="AH22">SUMPRODUCT(ISNUMBER(MATCH($C22:$AG22, Tagschichten, 0)) * 1)</f>
        <v>8</v>
      </c>
      <c r="AI22" s="178">
        <f t="shared" si="5"/>
        <v>192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 t="s">
        <v>91</v>
      </c>
      <c r="H23" s="159"/>
      <c r="I23" s="159"/>
      <c r="J23" s="159"/>
      <c r="K23" s="159" t="s">
        <v>91</v>
      </c>
      <c r="L23" s="159"/>
      <c r="M23" s="159"/>
      <c r="N23" s="159" t="s">
        <v>91</v>
      </c>
      <c r="O23" s="159"/>
      <c r="P23" s="159"/>
      <c r="Q23" s="159" t="s">
        <v>91</v>
      </c>
      <c r="R23" s="159"/>
      <c r="S23" s="159"/>
      <c r="T23" s="159" t="s">
        <v>91</v>
      </c>
      <c r="U23" s="159"/>
      <c r="V23" s="159"/>
      <c r="W23" s="159"/>
      <c r="X23" s="159" t="s">
        <v>91</v>
      </c>
      <c r="Y23" s="159"/>
      <c r="Z23" s="159"/>
      <c r="AA23" s="159" t="s">
        <v>91</v>
      </c>
      <c r="AB23" s="159"/>
      <c r="AC23" s="159"/>
      <c r="AD23" s="159" t="s">
        <v>91</v>
      </c>
      <c r="AE23" s="159"/>
      <c r="AF23" s="159"/>
      <c r="AG23" s="160"/>
      <c r="AH23" s="93" cm="1">
        <f t="array" ref="AH23">SUMPRODUCT(ISNUMBER(MATCH($C23:$AG23, Tagschichten, 0)) * 1)</f>
        <v>8</v>
      </c>
      <c r="AI23" s="178">
        <f t="shared" si="5"/>
        <v>192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 t="s">
        <v>91</v>
      </c>
      <c r="G24" s="159"/>
      <c r="H24" s="159" t="s">
        <v>91</v>
      </c>
      <c r="I24" s="159"/>
      <c r="J24" s="159"/>
      <c r="K24" s="159" t="s">
        <v>91</v>
      </c>
      <c r="L24" s="159"/>
      <c r="M24" s="159" t="s">
        <v>91</v>
      </c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4</v>
      </c>
      <c r="AI24" s="178">
        <f t="shared" si="5"/>
        <v>96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si="7"/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 t="s">
        <v>65</v>
      </c>
      <c r="D28" s="159" t="s">
        <v>65</v>
      </c>
      <c r="E28" s="159" t="s">
        <v>65</v>
      </c>
      <c r="F28" s="159"/>
      <c r="G28" s="159" t="s">
        <v>65</v>
      </c>
      <c r="H28" s="159"/>
      <c r="I28" s="159"/>
      <c r="J28" s="159"/>
      <c r="K28" s="159"/>
      <c r="L28" s="159"/>
      <c r="M28" s="159"/>
      <c r="N28" s="159"/>
      <c r="O28" s="159"/>
      <c r="P28" s="159" t="s">
        <v>65</v>
      </c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 t="s">
        <v>65</v>
      </c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 t="s">
        <v>47</v>
      </c>
      <c r="J50" s="113"/>
      <c r="K50" s="113"/>
      <c r="L50" s="113"/>
      <c r="M50" s="113"/>
      <c r="N50" s="113" t="s">
        <v>47</v>
      </c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112</v>
      </c>
      <c r="AI50" s="170">
        <f>SUM(AI$10:AI$49)</f>
        <v>2688</v>
      </c>
      <c r="AJ50" s="171">
        <f>SUM(AJ$10:AJ$49)</f>
        <v>6</v>
      </c>
      <c r="AK50" s="172">
        <f t="shared" ref="AK50" si="8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98"/>
      <c r="AE62" s="98"/>
      <c r="AF62" s="96"/>
      <c r="AG62" s="96"/>
      <c r="AH62" s="98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98"/>
      <c r="AE63" s="98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45717</v>
      </c>
      <c r="D78" s="95">
        <f t="shared" ref="D78:AG78" si="9">D7</f>
        <v>45718</v>
      </c>
      <c r="E78" s="95">
        <f t="shared" si="9"/>
        <v>45719</v>
      </c>
      <c r="F78" s="95">
        <f t="shared" si="9"/>
        <v>45720</v>
      </c>
      <c r="G78" s="95">
        <f t="shared" si="9"/>
        <v>45721</v>
      </c>
      <c r="H78" s="95">
        <f t="shared" si="9"/>
        <v>45722</v>
      </c>
      <c r="I78" s="95">
        <f t="shared" si="9"/>
        <v>45723</v>
      </c>
      <c r="J78" s="95">
        <f t="shared" si="9"/>
        <v>45724</v>
      </c>
      <c r="K78" s="95">
        <f t="shared" si="9"/>
        <v>45725</v>
      </c>
      <c r="L78" s="95">
        <f t="shared" si="9"/>
        <v>45726</v>
      </c>
      <c r="M78" s="95">
        <f t="shared" si="9"/>
        <v>45727</v>
      </c>
      <c r="N78" s="95">
        <f t="shared" si="9"/>
        <v>45728</v>
      </c>
      <c r="O78" s="95">
        <f t="shared" si="9"/>
        <v>45729</v>
      </c>
      <c r="P78" s="95">
        <f t="shared" si="9"/>
        <v>45730</v>
      </c>
      <c r="Q78" s="95">
        <f t="shared" si="9"/>
        <v>45731</v>
      </c>
      <c r="R78" s="95">
        <f t="shared" si="9"/>
        <v>45732</v>
      </c>
      <c r="S78" s="95">
        <f t="shared" si="9"/>
        <v>45733</v>
      </c>
      <c r="T78" s="95">
        <f t="shared" si="9"/>
        <v>45734</v>
      </c>
      <c r="U78" s="95">
        <f t="shared" si="9"/>
        <v>45735</v>
      </c>
      <c r="V78" s="95">
        <f t="shared" si="9"/>
        <v>45736</v>
      </c>
      <c r="W78" s="95">
        <f t="shared" si="9"/>
        <v>45737</v>
      </c>
      <c r="X78" s="95">
        <f t="shared" si="9"/>
        <v>45738</v>
      </c>
      <c r="Y78" s="95">
        <f t="shared" si="9"/>
        <v>45739</v>
      </c>
      <c r="Z78" s="95">
        <f t="shared" si="9"/>
        <v>45740</v>
      </c>
      <c r="AA78" s="95">
        <f t="shared" si="9"/>
        <v>45741</v>
      </c>
      <c r="AB78" s="95">
        <f t="shared" si="9"/>
        <v>45742</v>
      </c>
      <c r="AC78" s="95">
        <f t="shared" si="9"/>
        <v>45743</v>
      </c>
      <c r="AD78" s="95">
        <f t="shared" si="9"/>
        <v>45744</v>
      </c>
      <c r="AE78" s="95">
        <f t="shared" si="9"/>
        <v>45745</v>
      </c>
      <c r="AF78" s="95">
        <f t="shared" si="9"/>
        <v>45746</v>
      </c>
      <c r="AG78" s="95">
        <f t="shared" si="9"/>
        <v>45747</v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0">IF(B99="", "", B99)</f>
        <v>Aufsichtsf. Wachperson</v>
      </c>
      <c r="C79" s="36">
        <f t="shared" ref="C79:AG79" si="11">COUNTIF(C$10:C$49, $F$99)</f>
        <v>0</v>
      </c>
      <c r="D79" s="36">
        <f t="shared" si="11"/>
        <v>0</v>
      </c>
      <c r="E79" s="36">
        <f t="shared" si="11"/>
        <v>0</v>
      </c>
      <c r="F79" s="36">
        <f t="shared" si="11"/>
        <v>1</v>
      </c>
      <c r="G79" s="36">
        <f t="shared" si="11"/>
        <v>1</v>
      </c>
      <c r="H79" s="36">
        <f t="shared" si="11"/>
        <v>1</v>
      </c>
      <c r="I79" s="36">
        <f t="shared" si="11"/>
        <v>1</v>
      </c>
      <c r="J79" s="36">
        <f t="shared" si="11"/>
        <v>1</v>
      </c>
      <c r="K79" s="36">
        <f t="shared" si="11"/>
        <v>1</v>
      </c>
      <c r="L79" s="36">
        <f t="shared" si="11"/>
        <v>1</v>
      </c>
      <c r="M79" s="36">
        <f t="shared" si="11"/>
        <v>1</v>
      </c>
      <c r="N79" s="36">
        <f t="shared" si="11"/>
        <v>1</v>
      </c>
      <c r="O79" s="36">
        <f t="shared" si="11"/>
        <v>1</v>
      </c>
      <c r="P79" s="36">
        <f t="shared" si="11"/>
        <v>1</v>
      </c>
      <c r="Q79" s="36">
        <f t="shared" si="11"/>
        <v>1</v>
      </c>
      <c r="R79" s="36">
        <f t="shared" si="11"/>
        <v>1</v>
      </c>
      <c r="S79" s="36">
        <f t="shared" si="11"/>
        <v>1</v>
      </c>
      <c r="T79" s="36">
        <f t="shared" si="11"/>
        <v>1</v>
      </c>
      <c r="U79" s="36">
        <f t="shared" si="11"/>
        <v>1</v>
      </c>
      <c r="V79" s="36">
        <f t="shared" si="11"/>
        <v>1</v>
      </c>
      <c r="W79" s="36">
        <f t="shared" si="11"/>
        <v>1</v>
      </c>
      <c r="X79" s="36">
        <f t="shared" si="11"/>
        <v>1</v>
      </c>
      <c r="Y79" s="36">
        <f t="shared" si="11"/>
        <v>1</v>
      </c>
      <c r="Z79" s="36">
        <f t="shared" si="11"/>
        <v>1</v>
      </c>
      <c r="AA79" s="36">
        <f t="shared" si="11"/>
        <v>1</v>
      </c>
      <c r="AB79" s="36">
        <f t="shared" si="11"/>
        <v>1</v>
      </c>
      <c r="AC79" s="36">
        <f t="shared" si="11"/>
        <v>1</v>
      </c>
      <c r="AD79" s="36">
        <f t="shared" si="11"/>
        <v>1</v>
      </c>
      <c r="AE79" s="36">
        <f t="shared" si="11"/>
        <v>1</v>
      </c>
      <c r="AF79" s="36">
        <f t="shared" si="11"/>
        <v>1</v>
      </c>
      <c r="AG79" s="37">
        <f t="shared" si="11"/>
        <v>1</v>
      </c>
      <c r="AH79" s="27"/>
      <c r="AI79" s="186"/>
    </row>
    <row r="80" spans="1:37" s="7" customFormat="1" ht="26" customHeight="1" x14ac:dyDescent="0.25">
      <c r="A80" s="64"/>
      <c r="B80" s="70" t="str">
        <f t="shared" si="10"/>
        <v>Torposten, EGK, Streife</v>
      </c>
      <c r="C80" s="72">
        <f t="shared" ref="C80:AG80" si="12">COUNTIF(C$10:C$49, $F$100)</f>
        <v>0</v>
      </c>
      <c r="D80" s="72">
        <f t="shared" si="12"/>
        <v>0</v>
      </c>
      <c r="E80" s="72">
        <f t="shared" si="12"/>
        <v>0</v>
      </c>
      <c r="F80" s="72">
        <f t="shared" si="12"/>
        <v>3</v>
      </c>
      <c r="G80" s="72">
        <f t="shared" si="12"/>
        <v>3</v>
      </c>
      <c r="H80" s="72">
        <f t="shared" si="12"/>
        <v>3</v>
      </c>
      <c r="I80" s="72">
        <f t="shared" si="12"/>
        <v>3</v>
      </c>
      <c r="J80" s="72">
        <f t="shared" si="12"/>
        <v>3</v>
      </c>
      <c r="K80" s="72">
        <f t="shared" si="12"/>
        <v>3</v>
      </c>
      <c r="L80" s="72">
        <f t="shared" si="12"/>
        <v>3</v>
      </c>
      <c r="M80" s="72">
        <f t="shared" si="12"/>
        <v>3</v>
      </c>
      <c r="N80" s="72">
        <f t="shared" si="12"/>
        <v>3</v>
      </c>
      <c r="O80" s="72">
        <f t="shared" si="12"/>
        <v>3</v>
      </c>
      <c r="P80" s="72">
        <f t="shared" si="12"/>
        <v>3</v>
      </c>
      <c r="Q80" s="72">
        <f t="shared" si="12"/>
        <v>3</v>
      </c>
      <c r="R80" s="72">
        <f t="shared" si="12"/>
        <v>3</v>
      </c>
      <c r="S80" s="72">
        <f t="shared" si="12"/>
        <v>3</v>
      </c>
      <c r="T80" s="72">
        <f t="shared" si="12"/>
        <v>3</v>
      </c>
      <c r="U80" s="72">
        <f t="shared" si="12"/>
        <v>3</v>
      </c>
      <c r="V80" s="72">
        <f t="shared" si="12"/>
        <v>3</v>
      </c>
      <c r="W80" s="72">
        <f t="shared" si="12"/>
        <v>3</v>
      </c>
      <c r="X80" s="72">
        <f t="shared" si="12"/>
        <v>3</v>
      </c>
      <c r="Y80" s="72">
        <f t="shared" si="12"/>
        <v>3</v>
      </c>
      <c r="Z80" s="72">
        <f t="shared" si="12"/>
        <v>3</v>
      </c>
      <c r="AA80" s="72">
        <f t="shared" si="12"/>
        <v>3</v>
      </c>
      <c r="AB80" s="72">
        <f t="shared" si="12"/>
        <v>3</v>
      </c>
      <c r="AC80" s="72">
        <f t="shared" si="12"/>
        <v>3</v>
      </c>
      <c r="AD80" s="72">
        <f t="shared" si="12"/>
        <v>3</v>
      </c>
      <c r="AE80" s="72">
        <f t="shared" si="12"/>
        <v>3</v>
      </c>
      <c r="AF80" s="72">
        <f t="shared" si="12"/>
        <v>3</v>
      </c>
      <c r="AG80" s="73">
        <f t="shared" si="12"/>
        <v>3</v>
      </c>
      <c r="AH80" s="27"/>
      <c r="AI80" s="186"/>
    </row>
    <row r="81" spans="1:54" s="7" customFormat="1" ht="26" customHeight="1" x14ac:dyDescent="0.25">
      <c r="A81" s="64"/>
      <c r="B81" s="70" t="str">
        <f t="shared" si="10"/>
        <v/>
      </c>
      <c r="C81" s="72">
        <f t="shared" ref="C81:AG81" si="13">COUNTIF(C$10:C$49, $F$101)</f>
        <v>0</v>
      </c>
      <c r="D81" s="72">
        <f t="shared" si="13"/>
        <v>0</v>
      </c>
      <c r="E81" s="72">
        <f t="shared" si="13"/>
        <v>0</v>
      </c>
      <c r="F81" s="72">
        <f t="shared" si="13"/>
        <v>0</v>
      </c>
      <c r="G81" s="72">
        <f t="shared" si="13"/>
        <v>0</v>
      </c>
      <c r="H81" s="72">
        <f t="shared" si="13"/>
        <v>0</v>
      </c>
      <c r="I81" s="72">
        <f t="shared" si="13"/>
        <v>0</v>
      </c>
      <c r="J81" s="72">
        <f t="shared" si="13"/>
        <v>0</v>
      </c>
      <c r="K81" s="72">
        <f t="shared" si="13"/>
        <v>0</v>
      </c>
      <c r="L81" s="72">
        <f t="shared" si="13"/>
        <v>0</v>
      </c>
      <c r="M81" s="72">
        <f t="shared" si="13"/>
        <v>0</v>
      </c>
      <c r="N81" s="72">
        <f t="shared" si="13"/>
        <v>0</v>
      </c>
      <c r="O81" s="72">
        <f t="shared" si="13"/>
        <v>0</v>
      </c>
      <c r="P81" s="72">
        <f t="shared" si="13"/>
        <v>0</v>
      </c>
      <c r="Q81" s="72">
        <f t="shared" si="13"/>
        <v>0</v>
      </c>
      <c r="R81" s="72">
        <f t="shared" si="13"/>
        <v>0</v>
      </c>
      <c r="S81" s="72">
        <f t="shared" si="13"/>
        <v>0</v>
      </c>
      <c r="T81" s="72">
        <f t="shared" si="13"/>
        <v>0</v>
      </c>
      <c r="U81" s="72">
        <f t="shared" si="13"/>
        <v>0</v>
      </c>
      <c r="V81" s="72">
        <f t="shared" si="13"/>
        <v>0</v>
      </c>
      <c r="W81" s="72">
        <f t="shared" si="13"/>
        <v>0</v>
      </c>
      <c r="X81" s="72">
        <f t="shared" si="13"/>
        <v>0</v>
      </c>
      <c r="Y81" s="72">
        <f t="shared" si="13"/>
        <v>0</v>
      </c>
      <c r="Z81" s="72">
        <f t="shared" si="13"/>
        <v>0</v>
      </c>
      <c r="AA81" s="72">
        <f t="shared" si="13"/>
        <v>0</v>
      </c>
      <c r="AB81" s="72">
        <f t="shared" si="13"/>
        <v>0</v>
      </c>
      <c r="AC81" s="72">
        <f t="shared" si="13"/>
        <v>0</v>
      </c>
      <c r="AD81" s="72">
        <f t="shared" si="13"/>
        <v>0</v>
      </c>
      <c r="AE81" s="72">
        <f t="shared" si="13"/>
        <v>0</v>
      </c>
      <c r="AF81" s="72">
        <f t="shared" si="13"/>
        <v>0</v>
      </c>
      <c r="AG81" s="73">
        <f t="shared" si="13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0"/>
        <v/>
      </c>
      <c r="C82" s="72">
        <f t="shared" ref="C82:AG82" si="14">COUNTIF(C$10:C$49, $F$102)</f>
        <v>0</v>
      </c>
      <c r="D82" s="72">
        <f t="shared" si="14"/>
        <v>0</v>
      </c>
      <c r="E82" s="72">
        <f t="shared" si="14"/>
        <v>0</v>
      </c>
      <c r="F82" s="72">
        <f t="shared" si="14"/>
        <v>0</v>
      </c>
      <c r="G82" s="72">
        <f t="shared" si="14"/>
        <v>0</v>
      </c>
      <c r="H82" s="72">
        <f t="shared" si="14"/>
        <v>0</v>
      </c>
      <c r="I82" s="72">
        <f t="shared" si="14"/>
        <v>0</v>
      </c>
      <c r="J82" s="72">
        <f t="shared" si="14"/>
        <v>0</v>
      </c>
      <c r="K82" s="72">
        <f t="shared" si="14"/>
        <v>0</v>
      </c>
      <c r="L82" s="72">
        <f t="shared" si="14"/>
        <v>0</v>
      </c>
      <c r="M82" s="72">
        <f t="shared" si="14"/>
        <v>0</v>
      </c>
      <c r="N82" s="72">
        <f t="shared" si="14"/>
        <v>0</v>
      </c>
      <c r="O82" s="72">
        <f t="shared" si="14"/>
        <v>0</v>
      </c>
      <c r="P82" s="72">
        <f t="shared" si="14"/>
        <v>0</v>
      </c>
      <c r="Q82" s="72">
        <f t="shared" si="14"/>
        <v>0</v>
      </c>
      <c r="R82" s="72">
        <f t="shared" si="14"/>
        <v>0</v>
      </c>
      <c r="S82" s="72">
        <f t="shared" si="14"/>
        <v>0</v>
      </c>
      <c r="T82" s="72">
        <f t="shared" si="14"/>
        <v>0</v>
      </c>
      <c r="U82" s="72">
        <f t="shared" si="14"/>
        <v>0</v>
      </c>
      <c r="V82" s="72">
        <f t="shared" si="14"/>
        <v>0</v>
      </c>
      <c r="W82" s="72">
        <f t="shared" si="14"/>
        <v>0</v>
      </c>
      <c r="X82" s="72">
        <f t="shared" si="14"/>
        <v>0</v>
      </c>
      <c r="Y82" s="72">
        <f t="shared" si="14"/>
        <v>0</v>
      </c>
      <c r="Z82" s="72">
        <f t="shared" si="14"/>
        <v>0</v>
      </c>
      <c r="AA82" s="72">
        <f t="shared" si="14"/>
        <v>0</v>
      </c>
      <c r="AB82" s="72">
        <f t="shared" si="14"/>
        <v>0</v>
      </c>
      <c r="AC82" s="72">
        <f t="shared" si="14"/>
        <v>0</v>
      </c>
      <c r="AD82" s="72">
        <f t="shared" si="14"/>
        <v>0</v>
      </c>
      <c r="AE82" s="72">
        <f t="shared" si="14"/>
        <v>0</v>
      </c>
      <c r="AF82" s="72">
        <f t="shared" si="14"/>
        <v>0</v>
      </c>
      <c r="AG82" s="73">
        <f t="shared" si="14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0"/>
        <v/>
      </c>
      <c r="C83" s="72">
        <f t="shared" ref="C83:AG83" si="15">COUNTIF(C$10:C$49, $F$103)</f>
        <v>0</v>
      </c>
      <c r="D83" s="72">
        <f t="shared" si="15"/>
        <v>0</v>
      </c>
      <c r="E83" s="72">
        <f t="shared" si="15"/>
        <v>0</v>
      </c>
      <c r="F83" s="72">
        <f t="shared" si="15"/>
        <v>0</v>
      </c>
      <c r="G83" s="72">
        <f t="shared" si="15"/>
        <v>0</v>
      </c>
      <c r="H83" s="72">
        <f t="shared" si="15"/>
        <v>0</v>
      </c>
      <c r="I83" s="72">
        <f t="shared" si="15"/>
        <v>0</v>
      </c>
      <c r="J83" s="72">
        <f t="shared" si="15"/>
        <v>0</v>
      </c>
      <c r="K83" s="72">
        <f t="shared" si="15"/>
        <v>0</v>
      </c>
      <c r="L83" s="72">
        <f t="shared" si="15"/>
        <v>0</v>
      </c>
      <c r="M83" s="72">
        <f t="shared" si="15"/>
        <v>0</v>
      </c>
      <c r="N83" s="72">
        <f t="shared" si="15"/>
        <v>0</v>
      </c>
      <c r="O83" s="72">
        <f t="shared" si="15"/>
        <v>0</v>
      </c>
      <c r="P83" s="72">
        <f t="shared" si="15"/>
        <v>0</v>
      </c>
      <c r="Q83" s="72">
        <f t="shared" si="15"/>
        <v>0</v>
      </c>
      <c r="R83" s="72">
        <f t="shared" si="15"/>
        <v>0</v>
      </c>
      <c r="S83" s="72">
        <f t="shared" si="15"/>
        <v>0</v>
      </c>
      <c r="T83" s="72">
        <f t="shared" si="15"/>
        <v>0</v>
      </c>
      <c r="U83" s="72">
        <f t="shared" si="15"/>
        <v>0</v>
      </c>
      <c r="V83" s="72">
        <f t="shared" si="15"/>
        <v>0</v>
      </c>
      <c r="W83" s="72">
        <f t="shared" si="15"/>
        <v>0</v>
      </c>
      <c r="X83" s="72">
        <f t="shared" si="15"/>
        <v>0</v>
      </c>
      <c r="Y83" s="72">
        <f t="shared" si="15"/>
        <v>0</v>
      </c>
      <c r="Z83" s="72">
        <f t="shared" si="15"/>
        <v>0</v>
      </c>
      <c r="AA83" s="72">
        <f t="shared" si="15"/>
        <v>0</v>
      </c>
      <c r="AB83" s="72">
        <f t="shared" si="15"/>
        <v>0</v>
      </c>
      <c r="AC83" s="72">
        <f t="shared" si="15"/>
        <v>0</v>
      </c>
      <c r="AD83" s="72">
        <f t="shared" si="15"/>
        <v>0</v>
      </c>
      <c r="AE83" s="72">
        <f t="shared" si="15"/>
        <v>0</v>
      </c>
      <c r="AF83" s="72">
        <f t="shared" si="15"/>
        <v>0</v>
      </c>
      <c r="AG83" s="73">
        <f t="shared" si="15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0"/>
        <v/>
      </c>
      <c r="C84" s="38">
        <f t="shared" ref="C84:AG84" si="16">COUNTIF(C$10:C$49, $F$104)</f>
        <v>0</v>
      </c>
      <c r="D84" s="38">
        <f t="shared" si="16"/>
        <v>0</v>
      </c>
      <c r="E84" s="38">
        <f t="shared" si="16"/>
        <v>0</v>
      </c>
      <c r="F84" s="38">
        <f t="shared" si="16"/>
        <v>0</v>
      </c>
      <c r="G84" s="38">
        <f t="shared" si="16"/>
        <v>0</v>
      </c>
      <c r="H84" s="38">
        <f t="shared" si="16"/>
        <v>0</v>
      </c>
      <c r="I84" s="38">
        <f t="shared" si="16"/>
        <v>0</v>
      </c>
      <c r="J84" s="38">
        <f t="shared" si="16"/>
        <v>0</v>
      </c>
      <c r="K84" s="38">
        <f t="shared" si="16"/>
        <v>0</v>
      </c>
      <c r="L84" s="38">
        <f t="shared" si="16"/>
        <v>0</v>
      </c>
      <c r="M84" s="38">
        <f t="shared" si="16"/>
        <v>0</v>
      </c>
      <c r="N84" s="38">
        <f t="shared" si="16"/>
        <v>0</v>
      </c>
      <c r="O84" s="38">
        <f t="shared" si="16"/>
        <v>0</v>
      </c>
      <c r="P84" s="38">
        <f t="shared" si="16"/>
        <v>0</v>
      </c>
      <c r="Q84" s="38">
        <f t="shared" si="16"/>
        <v>0</v>
      </c>
      <c r="R84" s="38">
        <f t="shared" si="16"/>
        <v>0</v>
      </c>
      <c r="S84" s="38">
        <f t="shared" si="16"/>
        <v>0</v>
      </c>
      <c r="T84" s="38">
        <f t="shared" si="16"/>
        <v>0</v>
      </c>
      <c r="U84" s="38">
        <f t="shared" si="16"/>
        <v>0</v>
      </c>
      <c r="V84" s="38">
        <f t="shared" si="16"/>
        <v>0</v>
      </c>
      <c r="W84" s="38">
        <f t="shared" si="16"/>
        <v>0</v>
      </c>
      <c r="X84" s="38">
        <f t="shared" si="16"/>
        <v>0</v>
      </c>
      <c r="Y84" s="38">
        <f t="shared" si="16"/>
        <v>0</v>
      </c>
      <c r="Z84" s="38">
        <f t="shared" si="16"/>
        <v>0</v>
      </c>
      <c r="AA84" s="38">
        <f t="shared" si="16"/>
        <v>0</v>
      </c>
      <c r="AB84" s="38">
        <f t="shared" si="16"/>
        <v>0</v>
      </c>
      <c r="AC84" s="38">
        <f t="shared" si="16"/>
        <v>0</v>
      </c>
      <c r="AD84" s="38">
        <f t="shared" si="16"/>
        <v>0</v>
      </c>
      <c r="AE84" s="38">
        <f t="shared" si="16"/>
        <v>0</v>
      </c>
      <c r="AF84" s="38">
        <f t="shared" si="16"/>
        <v>0</v>
      </c>
      <c r="AG84" s="74">
        <f t="shared" si="16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0"/>
        <v/>
      </c>
      <c r="C85" s="38">
        <f t="shared" ref="C85:AG85" si="17">COUNTIF(C$10:C$49, $F$105)</f>
        <v>0</v>
      </c>
      <c r="D85" s="38">
        <f t="shared" si="17"/>
        <v>0</v>
      </c>
      <c r="E85" s="38">
        <f t="shared" si="17"/>
        <v>0</v>
      </c>
      <c r="F85" s="38">
        <f t="shared" si="17"/>
        <v>0</v>
      </c>
      <c r="G85" s="38">
        <f t="shared" si="17"/>
        <v>0</v>
      </c>
      <c r="H85" s="38">
        <f t="shared" si="17"/>
        <v>0</v>
      </c>
      <c r="I85" s="38">
        <f t="shared" si="17"/>
        <v>0</v>
      </c>
      <c r="J85" s="38">
        <f t="shared" si="17"/>
        <v>0</v>
      </c>
      <c r="K85" s="38">
        <f t="shared" si="17"/>
        <v>0</v>
      </c>
      <c r="L85" s="38">
        <f t="shared" si="17"/>
        <v>0</v>
      </c>
      <c r="M85" s="38">
        <f t="shared" si="17"/>
        <v>0</v>
      </c>
      <c r="N85" s="38">
        <f t="shared" si="17"/>
        <v>0</v>
      </c>
      <c r="O85" s="38">
        <f t="shared" si="17"/>
        <v>0</v>
      </c>
      <c r="P85" s="38">
        <f t="shared" si="17"/>
        <v>0</v>
      </c>
      <c r="Q85" s="38">
        <f t="shared" si="17"/>
        <v>0</v>
      </c>
      <c r="R85" s="38">
        <f t="shared" si="17"/>
        <v>0</v>
      </c>
      <c r="S85" s="38">
        <f t="shared" si="17"/>
        <v>0</v>
      </c>
      <c r="T85" s="38">
        <f t="shared" si="17"/>
        <v>0</v>
      </c>
      <c r="U85" s="38">
        <f t="shared" si="17"/>
        <v>0</v>
      </c>
      <c r="V85" s="38">
        <f t="shared" si="17"/>
        <v>0</v>
      </c>
      <c r="W85" s="38">
        <f t="shared" si="17"/>
        <v>0</v>
      </c>
      <c r="X85" s="38">
        <f t="shared" si="17"/>
        <v>0</v>
      </c>
      <c r="Y85" s="38">
        <f t="shared" si="17"/>
        <v>0</v>
      </c>
      <c r="Z85" s="38">
        <f t="shared" si="17"/>
        <v>0</v>
      </c>
      <c r="AA85" s="38">
        <f t="shared" si="17"/>
        <v>0</v>
      </c>
      <c r="AB85" s="38">
        <f t="shared" si="17"/>
        <v>0</v>
      </c>
      <c r="AC85" s="38">
        <f t="shared" si="17"/>
        <v>0</v>
      </c>
      <c r="AD85" s="38">
        <f t="shared" si="17"/>
        <v>0</v>
      </c>
      <c r="AE85" s="38">
        <f t="shared" si="17"/>
        <v>0</v>
      </c>
      <c r="AF85" s="38">
        <f t="shared" si="17"/>
        <v>0</v>
      </c>
      <c r="AG85" s="74">
        <f t="shared" si="17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0"/>
        <v/>
      </c>
      <c r="C86" s="38">
        <f t="shared" ref="C86:AG86" si="18">COUNTIF(C$10:C$49, $F$106)</f>
        <v>0</v>
      </c>
      <c r="D86" s="38">
        <f t="shared" si="18"/>
        <v>0</v>
      </c>
      <c r="E86" s="38">
        <f t="shared" si="18"/>
        <v>0</v>
      </c>
      <c r="F86" s="38">
        <f t="shared" si="18"/>
        <v>0</v>
      </c>
      <c r="G86" s="38">
        <f t="shared" si="18"/>
        <v>0</v>
      </c>
      <c r="H86" s="38">
        <f t="shared" si="18"/>
        <v>0</v>
      </c>
      <c r="I86" s="38">
        <f t="shared" si="18"/>
        <v>0</v>
      </c>
      <c r="J86" s="38">
        <f t="shared" si="18"/>
        <v>0</v>
      </c>
      <c r="K86" s="38">
        <f t="shared" si="18"/>
        <v>0</v>
      </c>
      <c r="L86" s="38">
        <f t="shared" si="18"/>
        <v>0</v>
      </c>
      <c r="M86" s="38">
        <f t="shared" si="18"/>
        <v>0</v>
      </c>
      <c r="N86" s="38">
        <f t="shared" si="18"/>
        <v>0</v>
      </c>
      <c r="O86" s="38">
        <f t="shared" si="18"/>
        <v>0</v>
      </c>
      <c r="P86" s="38">
        <f t="shared" si="18"/>
        <v>0</v>
      </c>
      <c r="Q86" s="38">
        <f t="shared" si="18"/>
        <v>0</v>
      </c>
      <c r="R86" s="38">
        <f t="shared" si="18"/>
        <v>0</v>
      </c>
      <c r="S86" s="38">
        <f t="shared" si="18"/>
        <v>0</v>
      </c>
      <c r="T86" s="38">
        <f t="shared" si="18"/>
        <v>0</v>
      </c>
      <c r="U86" s="38">
        <f t="shared" si="18"/>
        <v>0</v>
      </c>
      <c r="V86" s="38">
        <f t="shared" si="18"/>
        <v>0</v>
      </c>
      <c r="W86" s="38">
        <f t="shared" si="18"/>
        <v>0</v>
      </c>
      <c r="X86" s="38">
        <f t="shared" si="18"/>
        <v>0</v>
      </c>
      <c r="Y86" s="38">
        <f t="shared" si="18"/>
        <v>0</v>
      </c>
      <c r="Z86" s="38">
        <f t="shared" si="18"/>
        <v>0</v>
      </c>
      <c r="AA86" s="38">
        <f t="shared" si="18"/>
        <v>0</v>
      </c>
      <c r="AB86" s="38">
        <f t="shared" si="18"/>
        <v>0</v>
      </c>
      <c r="AC86" s="38">
        <f t="shared" si="18"/>
        <v>0</v>
      </c>
      <c r="AD86" s="38">
        <f t="shared" si="18"/>
        <v>0</v>
      </c>
      <c r="AE86" s="38">
        <f t="shared" si="18"/>
        <v>0</v>
      </c>
      <c r="AF86" s="38">
        <f t="shared" si="18"/>
        <v>0</v>
      </c>
      <c r="AG86" s="74">
        <f t="shared" si="18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19">COUNTIF(C$10:C$49, $F$107)</f>
        <v>0</v>
      </c>
      <c r="D87" s="38">
        <f t="shared" si="19"/>
        <v>0</v>
      </c>
      <c r="E87" s="38">
        <f t="shared" si="19"/>
        <v>0</v>
      </c>
      <c r="F87" s="38">
        <f t="shared" si="19"/>
        <v>0</v>
      </c>
      <c r="G87" s="38">
        <f t="shared" si="19"/>
        <v>0</v>
      </c>
      <c r="H87" s="38">
        <f t="shared" si="19"/>
        <v>0</v>
      </c>
      <c r="I87" s="38">
        <f t="shared" si="19"/>
        <v>0</v>
      </c>
      <c r="J87" s="38">
        <f t="shared" si="19"/>
        <v>0</v>
      </c>
      <c r="K87" s="38">
        <f t="shared" si="19"/>
        <v>0</v>
      </c>
      <c r="L87" s="38">
        <f t="shared" si="19"/>
        <v>0</v>
      </c>
      <c r="M87" s="38">
        <f t="shared" si="19"/>
        <v>0</v>
      </c>
      <c r="N87" s="38">
        <f t="shared" si="19"/>
        <v>0</v>
      </c>
      <c r="O87" s="38">
        <f t="shared" si="19"/>
        <v>0</v>
      </c>
      <c r="P87" s="38">
        <f t="shared" si="19"/>
        <v>0</v>
      </c>
      <c r="Q87" s="38">
        <f t="shared" si="19"/>
        <v>0</v>
      </c>
      <c r="R87" s="38">
        <f t="shared" si="19"/>
        <v>0</v>
      </c>
      <c r="S87" s="38">
        <f t="shared" ref="S87:AG88" si="20">COUNTIF(S$10:S$49, $F$107)</f>
        <v>0</v>
      </c>
      <c r="T87" s="38">
        <f t="shared" si="20"/>
        <v>0</v>
      </c>
      <c r="U87" s="38">
        <f t="shared" si="20"/>
        <v>0</v>
      </c>
      <c r="V87" s="38">
        <f t="shared" si="20"/>
        <v>0</v>
      </c>
      <c r="W87" s="38">
        <f t="shared" si="20"/>
        <v>0</v>
      </c>
      <c r="X87" s="38">
        <f t="shared" si="20"/>
        <v>0</v>
      </c>
      <c r="Y87" s="38">
        <f t="shared" si="20"/>
        <v>0</v>
      </c>
      <c r="Z87" s="38">
        <f t="shared" si="20"/>
        <v>0</v>
      </c>
      <c r="AA87" s="38">
        <f t="shared" si="20"/>
        <v>0</v>
      </c>
      <c r="AB87" s="38">
        <f t="shared" si="20"/>
        <v>0</v>
      </c>
      <c r="AC87" s="38">
        <f t="shared" si="20"/>
        <v>0</v>
      </c>
      <c r="AD87" s="38">
        <f t="shared" si="20"/>
        <v>0</v>
      </c>
      <c r="AE87" s="38">
        <f t="shared" si="20"/>
        <v>0</v>
      </c>
      <c r="AF87" s="38">
        <f t="shared" si="20"/>
        <v>0</v>
      </c>
      <c r="AG87" s="74">
        <f t="shared" si="20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19"/>
        <v>0</v>
      </c>
      <c r="D88" s="39">
        <f t="shared" si="19"/>
        <v>0</v>
      </c>
      <c r="E88" s="39">
        <f t="shared" si="19"/>
        <v>0</v>
      </c>
      <c r="F88" s="39">
        <f t="shared" si="19"/>
        <v>0</v>
      </c>
      <c r="G88" s="39">
        <f t="shared" si="19"/>
        <v>0</v>
      </c>
      <c r="H88" s="39">
        <f t="shared" si="19"/>
        <v>0</v>
      </c>
      <c r="I88" s="39">
        <f t="shared" si="19"/>
        <v>0</v>
      </c>
      <c r="J88" s="39">
        <f t="shared" si="19"/>
        <v>0</v>
      </c>
      <c r="K88" s="39">
        <f t="shared" si="19"/>
        <v>0</v>
      </c>
      <c r="L88" s="39">
        <f t="shared" si="19"/>
        <v>0</v>
      </c>
      <c r="M88" s="39">
        <f t="shared" si="19"/>
        <v>0</v>
      </c>
      <c r="N88" s="39">
        <f t="shared" si="19"/>
        <v>0</v>
      </c>
      <c r="O88" s="39">
        <f t="shared" si="19"/>
        <v>0</v>
      </c>
      <c r="P88" s="39">
        <f t="shared" si="19"/>
        <v>0</v>
      </c>
      <c r="Q88" s="39">
        <f t="shared" si="19"/>
        <v>0</v>
      </c>
      <c r="R88" s="39">
        <f t="shared" si="19"/>
        <v>0</v>
      </c>
      <c r="S88" s="39">
        <f t="shared" si="20"/>
        <v>0</v>
      </c>
      <c r="T88" s="39">
        <f t="shared" si="20"/>
        <v>0</v>
      </c>
      <c r="U88" s="39">
        <f t="shared" si="20"/>
        <v>0</v>
      </c>
      <c r="V88" s="39">
        <f t="shared" si="20"/>
        <v>0</v>
      </c>
      <c r="W88" s="39">
        <f t="shared" si="20"/>
        <v>0</v>
      </c>
      <c r="X88" s="39">
        <f t="shared" si="20"/>
        <v>0</v>
      </c>
      <c r="Y88" s="39">
        <f t="shared" si="20"/>
        <v>0</v>
      </c>
      <c r="Z88" s="39">
        <f t="shared" si="20"/>
        <v>0</v>
      </c>
      <c r="AA88" s="39">
        <f t="shared" si="20"/>
        <v>0</v>
      </c>
      <c r="AB88" s="39">
        <f t="shared" si="20"/>
        <v>0</v>
      </c>
      <c r="AC88" s="39">
        <f t="shared" si="20"/>
        <v>0</v>
      </c>
      <c r="AD88" s="39">
        <f t="shared" si="20"/>
        <v>0</v>
      </c>
      <c r="AE88" s="39">
        <f t="shared" si="20"/>
        <v>0</v>
      </c>
      <c r="AF88" s="39">
        <f t="shared" si="20"/>
        <v>0</v>
      </c>
      <c r="AG88" s="75">
        <f t="shared" si="20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3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algorithmName="SHA-512" hashValue="B5yn3262MAOoOm3OPqzPHNJ8wcuwplKVks05k0Fi1TJV+jn8YHk8CKXnZkxkISwImYe+ikV2EjMbIP+8VPykbQ==" saltValue="dY1WVXpXItzxMLx76iwnNQ==" spinCount="100000" sheet="1" objects="1" scenarios="1" formatCells="0" selectLockedCells="1"/>
  <mergeCells count="58">
    <mergeCell ref="L3:S3"/>
    <mergeCell ref="B6:B7"/>
    <mergeCell ref="AK6:AK7"/>
    <mergeCell ref="B53:I53"/>
    <mergeCell ref="AJ6:AJ7"/>
    <mergeCell ref="B54:I54"/>
    <mergeCell ref="B55:I55"/>
    <mergeCell ref="B56:I56"/>
    <mergeCell ref="B57:I57"/>
    <mergeCell ref="B75:N75"/>
    <mergeCell ref="B69:N69"/>
    <mergeCell ref="B70:N70"/>
    <mergeCell ref="B71:N71"/>
    <mergeCell ref="B72:N72"/>
    <mergeCell ref="B73:N73"/>
    <mergeCell ref="B74:N74"/>
    <mergeCell ref="AB58:AI58"/>
    <mergeCell ref="B59:I59"/>
    <mergeCell ref="B60:I60"/>
    <mergeCell ref="B67:N67"/>
    <mergeCell ref="B68:N68"/>
    <mergeCell ref="B58:I58"/>
    <mergeCell ref="B76:N76"/>
    <mergeCell ref="C95:H95"/>
    <mergeCell ref="C96:H96"/>
    <mergeCell ref="C98:E98"/>
    <mergeCell ref="F98:H98"/>
    <mergeCell ref="I98:J98"/>
    <mergeCell ref="C94:H94"/>
    <mergeCell ref="C99:E99"/>
    <mergeCell ref="F99:H99"/>
    <mergeCell ref="I99:J99"/>
    <mergeCell ref="C100:E100"/>
    <mergeCell ref="F100:H100"/>
    <mergeCell ref="I100:J100"/>
    <mergeCell ref="I104:J104"/>
    <mergeCell ref="C101:E101"/>
    <mergeCell ref="F101:H101"/>
    <mergeCell ref="I101:J101"/>
    <mergeCell ref="C102:E102"/>
    <mergeCell ref="F102:H102"/>
    <mergeCell ref="I102:J102"/>
    <mergeCell ref="L2:W2"/>
    <mergeCell ref="K1:X1"/>
    <mergeCell ref="AB56:AI56"/>
    <mergeCell ref="C108:E108"/>
    <mergeCell ref="F108:H108"/>
    <mergeCell ref="C105:E105"/>
    <mergeCell ref="F105:H105"/>
    <mergeCell ref="C106:E106"/>
    <mergeCell ref="F106:H106"/>
    <mergeCell ref="C107:E107"/>
    <mergeCell ref="F107:H107"/>
    <mergeCell ref="C103:E103"/>
    <mergeCell ref="F103:H103"/>
    <mergeCell ref="I103:J103"/>
    <mergeCell ref="C104:E104"/>
    <mergeCell ref="F104:H104"/>
  </mergeCells>
  <conditionalFormatting sqref="AK10:AK49">
    <cfRule type="cellIs" dxfId="509" priority="49" stopIfTrue="1" operator="equal">
      <formula>0</formula>
    </cfRule>
  </conditionalFormatting>
  <conditionalFormatting sqref="C6:AG9">
    <cfRule type="expression" dxfId="508" priority="47">
      <formula>C$9="FT"</formula>
    </cfRule>
    <cfRule type="expression" dxfId="507" priority="48">
      <formula>C$8&gt;5</formula>
    </cfRule>
  </conditionalFormatting>
  <conditionalFormatting sqref="B50">
    <cfRule type="expression" dxfId="506" priority="45">
      <formula>B$50="WS"</formula>
    </cfRule>
    <cfRule type="expression" dxfId="505" priority="46">
      <formula>B$50="SZ"</formula>
    </cfRule>
  </conditionalFormatting>
  <conditionalFormatting sqref="C10:AG49">
    <cfRule type="expression" dxfId="504" priority="7" stopIfTrue="1">
      <formula>C10="U"</formula>
    </cfRule>
    <cfRule type="expression" dxfId="503" priority="8">
      <formula>C10="K"</formula>
    </cfRule>
    <cfRule type="expression" dxfId="502" priority="9">
      <formula>C10="AWP"</formula>
    </cfRule>
    <cfRule type="expression" dxfId="501" priority="26" stopIfTrue="1">
      <formula>C10="TES"</formula>
    </cfRule>
    <cfRule type="expression" dxfId="500" priority="38" stopIfTrue="1">
      <formula>C10="S"</formula>
    </cfRule>
    <cfRule type="expression" dxfId="499" priority="39">
      <formula>C$9="FT"</formula>
    </cfRule>
    <cfRule type="expression" dxfId="498" priority="42">
      <formula>C$8&gt;5</formula>
    </cfRule>
    <cfRule type="expression" dxfId="497" priority="43" stopIfTrue="1">
      <formula>OR(C10="X",C10="FS")</formula>
    </cfRule>
  </conditionalFormatting>
  <conditionalFormatting sqref="C50:AG50">
    <cfRule type="expression" dxfId="496" priority="27" stopIfTrue="1">
      <formula>C$50="S"</formula>
    </cfRule>
  </conditionalFormatting>
  <conditionalFormatting sqref="AI10:AI49">
    <cfRule type="cellIs" dxfId="495" priority="35" stopIfTrue="1" operator="equal">
      <formula>0</formula>
    </cfRule>
    <cfRule type="cellIs" dxfId="494" priority="36" operator="greaterThan">
      <formula>0</formula>
    </cfRule>
  </conditionalFormatting>
  <conditionalFormatting sqref="AH10:AH49">
    <cfRule type="cellIs" dxfId="493" priority="32" operator="equal">
      <formula>0</formula>
    </cfRule>
  </conditionalFormatting>
  <conditionalFormatting sqref="AJ10:AJ49">
    <cfRule type="cellIs" dxfId="492" priority="28" operator="equal">
      <formula>0</formula>
    </cfRule>
  </conditionalFormatting>
  <conditionalFormatting sqref="C84:AG84">
    <cfRule type="expression" dxfId="491" priority="15" stopIfTrue="1">
      <formula>IF($B$84="",1,0)</formula>
    </cfRule>
    <cfRule type="expression" dxfId="490" priority="50" stopIfTrue="1">
      <formula>IF(C$84&lt;&gt;$C$104,1,0)</formula>
    </cfRule>
    <cfRule type="expression" dxfId="489" priority="51" stopIfTrue="1">
      <formula>IF(C$84=$C$104,1,0)</formula>
    </cfRule>
  </conditionalFormatting>
  <conditionalFormatting sqref="C85:AG85">
    <cfRule type="expression" dxfId="488" priority="16" stopIfTrue="1">
      <formula>IF($B$85="",1,0)</formula>
    </cfRule>
    <cfRule type="expression" dxfId="487" priority="52">
      <formula>IF(C$85=$C$105,1,0)</formula>
    </cfRule>
    <cfRule type="expression" dxfId="486" priority="53">
      <formula>IF(C$85&lt;&gt;$C$105,1,0)</formula>
    </cfRule>
  </conditionalFormatting>
  <conditionalFormatting sqref="C86:AG86">
    <cfRule type="expression" dxfId="485" priority="17" stopIfTrue="1">
      <formula>IF($B$86="",1,0)</formula>
    </cfRule>
    <cfRule type="expression" dxfId="484" priority="54" stopIfTrue="1">
      <formula>IF(C$86&lt;&gt;$C$106,1,0)</formula>
    </cfRule>
    <cfRule type="expression" dxfId="483" priority="55" stopIfTrue="1">
      <formula>IF(C$86=$C$106,1,0)</formula>
    </cfRule>
  </conditionalFormatting>
  <conditionalFormatting sqref="C79:AG79">
    <cfRule type="expression" dxfId="482" priority="10">
      <formula>IF($B$79="",1,0)</formula>
    </cfRule>
    <cfRule type="expression" dxfId="481" priority="56">
      <formula>IF(C$79=$C$99,1,0)</formula>
    </cfRule>
    <cfRule type="expression" dxfId="480" priority="57">
      <formula>IF(C$79&lt;&gt;$C$99,1,0)</formula>
    </cfRule>
  </conditionalFormatting>
  <conditionalFormatting sqref="C81:AG81">
    <cfRule type="expression" dxfId="479" priority="12">
      <formula>IF($B$81="",1,0)</formula>
    </cfRule>
    <cfRule type="expression" dxfId="478" priority="58">
      <formula>IF(C$81=$C$101,1,0)</formula>
    </cfRule>
    <cfRule type="expression" dxfId="477" priority="59">
      <formula>IF(C$81&lt;&gt;$C$101,1,0)</formula>
    </cfRule>
  </conditionalFormatting>
  <conditionalFormatting sqref="C80:AG80">
    <cfRule type="expression" dxfId="476" priority="11">
      <formula>IF($B$80="",1,0)</formula>
    </cfRule>
    <cfRule type="expression" dxfId="475" priority="60">
      <formula>IF(C$80&lt;&gt;$C$100,1,0)</formula>
    </cfRule>
    <cfRule type="expression" dxfId="474" priority="61">
      <formula>IF(C$80=$C$100,1,0)</formula>
    </cfRule>
  </conditionalFormatting>
  <conditionalFormatting sqref="C82:AG82">
    <cfRule type="expression" dxfId="473" priority="13">
      <formula>IF($B$82="",1,0)</formula>
    </cfRule>
    <cfRule type="expression" dxfId="472" priority="62">
      <formula>IF(C$82&lt;&gt;$C$102,1,0)</formula>
    </cfRule>
    <cfRule type="expression" dxfId="471" priority="63">
      <formula>IF(C$82=$C$102,1,0)</formula>
    </cfRule>
  </conditionalFormatting>
  <conditionalFormatting sqref="C83:AG83">
    <cfRule type="expression" dxfId="470" priority="14" stopIfTrue="1">
      <formula>IF($B$83="",1,0)</formula>
    </cfRule>
    <cfRule type="expression" dxfId="469" priority="64" stopIfTrue="1">
      <formula>IF(C$83=$C$103,1,0)</formula>
    </cfRule>
    <cfRule type="expression" dxfId="468" priority="65" stopIfTrue="1">
      <formula>IF(C$83&lt;&gt;$C$103,1,0)</formula>
    </cfRule>
  </conditionalFormatting>
  <conditionalFormatting sqref="C88:AG88">
    <cfRule type="expression" dxfId="467" priority="19" stopIfTrue="1">
      <formula>IF($B$88="",1,0)</formula>
    </cfRule>
    <cfRule type="expression" dxfId="466" priority="22" stopIfTrue="1">
      <formula>IF(C$88&lt;&gt;$C$108,1,0)</formula>
    </cfRule>
    <cfRule type="expression" dxfId="465" priority="23" stopIfTrue="1">
      <formula>IF(C$88=$C$108,1,0)</formula>
    </cfRule>
  </conditionalFormatting>
  <conditionalFormatting sqref="C87:AG87">
    <cfRule type="expression" dxfId="464" priority="18" stopIfTrue="1">
      <formula>IF($B$87="",1,0)</formula>
    </cfRule>
    <cfRule type="expression" dxfId="463" priority="20" stopIfTrue="1">
      <formula>IF(C$87&lt;&gt;$C$107,1,0)</formula>
    </cfRule>
    <cfRule type="expression" dxfId="462" priority="21" stopIfTrue="1">
      <formula>IF(C$87=$C$107,1,0)</formula>
    </cfRule>
  </conditionalFormatting>
  <conditionalFormatting sqref="C5:AG5">
    <cfRule type="expression" dxfId="461" priority="5">
      <formula>C5="SZ"</formula>
    </cfRule>
  </conditionalFormatting>
  <conditionalFormatting sqref="B5">
    <cfRule type="expression" dxfId="460" priority="1">
      <formula>B$50="WS"</formula>
    </cfRule>
    <cfRule type="expression" dxfId="459" priority="2">
      <formula>B$50="SZ"</formula>
    </cfRule>
  </conditionalFormatting>
  <dataValidations count="1">
    <dataValidation type="list" allowBlank="1" showInputMessage="1" showErrorMessage="1" sqref="B10:B49" xr:uid="{00000000-0002-0000-0100-000000000000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3B39-89D9-4A3B-BB4F-795DEDA7B22E}">
  <sheetPr codeName="Dienstplan4">
    <tabColor theme="4"/>
    <pageSetUpPr fitToPage="1"/>
  </sheetPr>
  <dimension ref="A1:BB113"/>
  <sheetViews>
    <sheetView showGridLines="0" zoomScale="70" zoomScaleNormal="70" workbookViewId="0">
      <selection activeCell="C95" sqref="C95:H95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April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1.4.2025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45748</v>
      </c>
      <c r="D6" s="54">
        <f t="shared" ref="D6:AG6" si="0">IF(MONTH(DATE(YEAR($L$3),MONTH($L$3),COLUMN()-COLUMN($B6)))&gt;MONTH($L$3),"",DATE(YEAR($L$3),MONTH($L$3),COLUMN()-COLUMN($B6)))</f>
        <v>45749</v>
      </c>
      <c r="E6" s="54">
        <f t="shared" si="0"/>
        <v>45750</v>
      </c>
      <c r="F6" s="54">
        <f t="shared" si="0"/>
        <v>45751</v>
      </c>
      <c r="G6" s="54">
        <f t="shared" si="0"/>
        <v>45752</v>
      </c>
      <c r="H6" s="54">
        <f t="shared" si="0"/>
        <v>45753</v>
      </c>
      <c r="I6" s="54">
        <f t="shared" si="0"/>
        <v>45754</v>
      </c>
      <c r="J6" s="54">
        <f t="shared" si="0"/>
        <v>45755</v>
      </c>
      <c r="K6" s="54">
        <f t="shared" si="0"/>
        <v>45756</v>
      </c>
      <c r="L6" s="54">
        <f t="shared" si="0"/>
        <v>45757</v>
      </c>
      <c r="M6" s="54">
        <f t="shared" si="0"/>
        <v>45758</v>
      </c>
      <c r="N6" s="54">
        <f t="shared" si="0"/>
        <v>45759</v>
      </c>
      <c r="O6" s="54">
        <f t="shared" si="0"/>
        <v>45760</v>
      </c>
      <c r="P6" s="54">
        <f t="shared" si="0"/>
        <v>45761</v>
      </c>
      <c r="Q6" s="54">
        <f t="shared" si="0"/>
        <v>45762</v>
      </c>
      <c r="R6" s="54">
        <f t="shared" si="0"/>
        <v>45763</v>
      </c>
      <c r="S6" s="54">
        <f t="shared" si="0"/>
        <v>45764</v>
      </c>
      <c r="T6" s="54">
        <f t="shared" si="0"/>
        <v>45765</v>
      </c>
      <c r="U6" s="54">
        <f t="shared" si="0"/>
        <v>45766</v>
      </c>
      <c r="V6" s="54">
        <f t="shared" si="0"/>
        <v>45767</v>
      </c>
      <c r="W6" s="54">
        <f t="shared" si="0"/>
        <v>45768</v>
      </c>
      <c r="X6" s="54">
        <f t="shared" si="0"/>
        <v>45769</v>
      </c>
      <c r="Y6" s="54">
        <f t="shared" si="0"/>
        <v>45770</v>
      </c>
      <c r="Z6" s="54">
        <f t="shared" si="0"/>
        <v>45771</v>
      </c>
      <c r="AA6" s="54">
        <f t="shared" si="0"/>
        <v>45772</v>
      </c>
      <c r="AB6" s="54">
        <f t="shared" si="0"/>
        <v>45773</v>
      </c>
      <c r="AC6" s="54">
        <f t="shared" si="0"/>
        <v>45774</v>
      </c>
      <c r="AD6" s="54">
        <f t="shared" si="0"/>
        <v>45775</v>
      </c>
      <c r="AE6" s="54">
        <f t="shared" si="0"/>
        <v>45776</v>
      </c>
      <c r="AF6" s="54">
        <f t="shared" si="0"/>
        <v>45777</v>
      </c>
      <c r="AG6" s="55" t="str">
        <f t="shared" si="0"/>
        <v/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45748</v>
      </c>
      <c r="D7" s="57">
        <f t="shared" ref="D7:AG7" si="1">IF(MONTH(DATE(YEAR($L$3),MONTH($L$3),COLUMN()-COLUMN($B6)))&gt;MONTH($L$3),"",DATE(YEAR($L$3),MONTH($L$3),COLUMN()-COLUMN($B6)))</f>
        <v>45749</v>
      </c>
      <c r="E7" s="57">
        <f t="shared" si="1"/>
        <v>45750</v>
      </c>
      <c r="F7" s="57">
        <f t="shared" si="1"/>
        <v>45751</v>
      </c>
      <c r="G7" s="57">
        <f t="shared" si="1"/>
        <v>45752</v>
      </c>
      <c r="H7" s="57">
        <f t="shared" si="1"/>
        <v>45753</v>
      </c>
      <c r="I7" s="57">
        <f t="shared" si="1"/>
        <v>45754</v>
      </c>
      <c r="J7" s="57">
        <f t="shared" si="1"/>
        <v>45755</v>
      </c>
      <c r="K7" s="57">
        <f t="shared" si="1"/>
        <v>45756</v>
      </c>
      <c r="L7" s="57">
        <f t="shared" si="1"/>
        <v>45757</v>
      </c>
      <c r="M7" s="57">
        <f t="shared" si="1"/>
        <v>45758</v>
      </c>
      <c r="N7" s="57">
        <f t="shared" si="1"/>
        <v>45759</v>
      </c>
      <c r="O7" s="57">
        <f t="shared" si="1"/>
        <v>45760</v>
      </c>
      <c r="P7" s="57">
        <f t="shared" si="1"/>
        <v>45761</v>
      </c>
      <c r="Q7" s="57">
        <f t="shared" si="1"/>
        <v>45762</v>
      </c>
      <c r="R7" s="57">
        <f t="shared" si="1"/>
        <v>45763</v>
      </c>
      <c r="S7" s="57">
        <f t="shared" si="1"/>
        <v>45764</v>
      </c>
      <c r="T7" s="57">
        <f t="shared" si="1"/>
        <v>45765</v>
      </c>
      <c r="U7" s="57">
        <f t="shared" si="1"/>
        <v>45766</v>
      </c>
      <c r="V7" s="57">
        <f t="shared" si="1"/>
        <v>45767</v>
      </c>
      <c r="W7" s="57">
        <f t="shared" si="1"/>
        <v>45768</v>
      </c>
      <c r="X7" s="57">
        <f t="shared" si="1"/>
        <v>45769</v>
      </c>
      <c r="Y7" s="57">
        <f t="shared" si="1"/>
        <v>45770</v>
      </c>
      <c r="Z7" s="57">
        <f t="shared" si="1"/>
        <v>45771</v>
      </c>
      <c r="AA7" s="57">
        <f t="shared" si="1"/>
        <v>45772</v>
      </c>
      <c r="AB7" s="57">
        <f t="shared" si="1"/>
        <v>45773</v>
      </c>
      <c r="AC7" s="57">
        <f t="shared" si="1"/>
        <v>45774</v>
      </c>
      <c r="AD7" s="57">
        <f t="shared" si="1"/>
        <v>45775</v>
      </c>
      <c r="AE7" s="57">
        <f t="shared" si="1"/>
        <v>45776</v>
      </c>
      <c r="AF7" s="57">
        <f t="shared" si="1"/>
        <v>45777</v>
      </c>
      <c r="AG7" s="58" t="str">
        <f t="shared" si="1"/>
        <v/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2</v>
      </c>
      <c r="D8" s="45">
        <f>IFERROR(WEEKDAY(D6,2), 0)</f>
        <v>3</v>
      </c>
      <c r="E8" s="45">
        <f t="shared" ref="E8:AG8" si="2">IFERROR(WEEKDAY(E6,2), 0)</f>
        <v>4</v>
      </c>
      <c r="F8" s="45">
        <f t="shared" si="2"/>
        <v>5</v>
      </c>
      <c r="G8" s="45">
        <f t="shared" si="2"/>
        <v>6</v>
      </c>
      <c r="H8" s="45">
        <f t="shared" si="2"/>
        <v>7</v>
      </c>
      <c r="I8" s="45">
        <f t="shared" si="2"/>
        <v>1</v>
      </c>
      <c r="J8" s="45">
        <f t="shared" si="2"/>
        <v>2</v>
      </c>
      <c r="K8" s="45">
        <f t="shared" si="2"/>
        <v>3</v>
      </c>
      <c r="L8" s="45">
        <f t="shared" si="2"/>
        <v>4</v>
      </c>
      <c r="M8" s="45">
        <f t="shared" si="2"/>
        <v>5</v>
      </c>
      <c r="N8" s="45">
        <f t="shared" si="2"/>
        <v>6</v>
      </c>
      <c r="O8" s="45">
        <f t="shared" si="2"/>
        <v>7</v>
      </c>
      <c r="P8" s="45">
        <f t="shared" si="2"/>
        <v>1</v>
      </c>
      <c r="Q8" s="45">
        <f t="shared" si="2"/>
        <v>2</v>
      </c>
      <c r="R8" s="45">
        <f t="shared" si="2"/>
        <v>3</v>
      </c>
      <c r="S8" s="45">
        <f t="shared" si="2"/>
        <v>4</v>
      </c>
      <c r="T8" s="45">
        <f t="shared" si="2"/>
        <v>5</v>
      </c>
      <c r="U8" s="45">
        <f t="shared" si="2"/>
        <v>6</v>
      </c>
      <c r="V8" s="45">
        <f t="shared" si="2"/>
        <v>7</v>
      </c>
      <c r="W8" s="45">
        <f t="shared" si="2"/>
        <v>1</v>
      </c>
      <c r="X8" s="45">
        <f t="shared" si="2"/>
        <v>2</v>
      </c>
      <c r="Y8" s="45">
        <f t="shared" si="2"/>
        <v>3</v>
      </c>
      <c r="Z8" s="45">
        <f t="shared" si="2"/>
        <v>4</v>
      </c>
      <c r="AA8" s="45">
        <f t="shared" si="2"/>
        <v>5</v>
      </c>
      <c r="AB8" s="45">
        <f t="shared" si="2"/>
        <v>6</v>
      </c>
      <c r="AC8" s="45">
        <f t="shared" si="2"/>
        <v>7</v>
      </c>
      <c r="AD8" s="45">
        <f t="shared" si="2"/>
        <v>1</v>
      </c>
      <c r="AE8" s="45">
        <f t="shared" si="2"/>
        <v>2</v>
      </c>
      <c r="AF8" s="45">
        <f t="shared" si="2"/>
        <v>3</v>
      </c>
      <c r="AG8" s="48">
        <f t="shared" si="2"/>
        <v>0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/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>FT</v>
      </c>
      <c r="U9" s="10" t="str">
        <f>IF(ISNA(VLOOKUP(U$6,Einstellungen!$B$8:$B$22,1,0)),"","FT")</f>
        <v/>
      </c>
      <c r="V9" s="10" t="str">
        <f>IF(ISNA(VLOOKUP(V$6,Einstellungen!$B$8:$B$22,1,0)),"","FT")</f>
        <v>FT</v>
      </c>
      <c r="W9" s="10" t="str">
        <f>IF(ISNA(VLOOKUP(W$6,Einstellungen!$B$8:$B$22,1,0)),"","FT")</f>
        <v>FT</v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45748</v>
      </c>
      <c r="D78" s="95">
        <f t="shared" ref="D78:AG78" si="10">D7</f>
        <v>45749</v>
      </c>
      <c r="E78" s="95">
        <f t="shared" si="10"/>
        <v>45750</v>
      </c>
      <c r="F78" s="95">
        <f t="shared" si="10"/>
        <v>45751</v>
      </c>
      <c r="G78" s="95">
        <f t="shared" si="10"/>
        <v>45752</v>
      </c>
      <c r="H78" s="95">
        <f t="shared" si="10"/>
        <v>45753</v>
      </c>
      <c r="I78" s="95">
        <f t="shared" si="10"/>
        <v>45754</v>
      </c>
      <c r="J78" s="95">
        <f t="shared" si="10"/>
        <v>45755</v>
      </c>
      <c r="K78" s="95">
        <f t="shared" si="10"/>
        <v>45756</v>
      </c>
      <c r="L78" s="95">
        <f t="shared" si="10"/>
        <v>45757</v>
      </c>
      <c r="M78" s="95">
        <f t="shared" si="10"/>
        <v>45758</v>
      </c>
      <c r="N78" s="95">
        <f t="shared" si="10"/>
        <v>45759</v>
      </c>
      <c r="O78" s="95">
        <f t="shared" si="10"/>
        <v>45760</v>
      </c>
      <c r="P78" s="95">
        <f t="shared" si="10"/>
        <v>45761</v>
      </c>
      <c r="Q78" s="95">
        <f t="shared" si="10"/>
        <v>45762</v>
      </c>
      <c r="R78" s="95">
        <f t="shared" si="10"/>
        <v>45763</v>
      </c>
      <c r="S78" s="95">
        <f t="shared" si="10"/>
        <v>45764</v>
      </c>
      <c r="T78" s="95">
        <f t="shared" si="10"/>
        <v>45765</v>
      </c>
      <c r="U78" s="95">
        <f t="shared" si="10"/>
        <v>45766</v>
      </c>
      <c r="V78" s="95">
        <f t="shared" si="10"/>
        <v>45767</v>
      </c>
      <c r="W78" s="95">
        <f t="shared" si="10"/>
        <v>45768</v>
      </c>
      <c r="X78" s="95">
        <f t="shared" si="10"/>
        <v>45769</v>
      </c>
      <c r="Y78" s="95">
        <f t="shared" si="10"/>
        <v>45770</v>
      </c>
      <c r="Z78" s="95">
        <f t="shared" si="10"/>
        <v>45771</v>
      </c>
      <c r="AA78" s="95">
        <f t="shared" si="10"/>
        <v>45772</v>
      </c>
      <c r="AB78" s="95">
        <f t="shared" si="10"/>
        <v>45773</v>
      </c>
      <c r="AC78" s="95">
        <f t="shared" si="10"/>
        <v>45774</v>
      </c>
      <c r="AD78" s="95">
        <f t="shared" si="10"/>
        <v>45775</v>
      </c>
      <c r="AE78" s="95">
        <f t="shared" si="10"/>
        <v>45776</v>
      </c>
      <c r="AF78" s="95">
        <f t="shared" si="10"/>
        <v>45777</v>
      </c>
      <c r="AG78" s="95" t="str">
        <f t="shared" si="10"/>
        <v/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4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algorithmName="SHA-512" hashValue="6e5u0TqXW7ZuXHE5er9rIl50NFlD6cvm8dMmVGCU/PPwH4ji8Q/G+7TvZKJBYos5sWvAOLN4/fmmeZ4+DtiWFg==" saltValue="ddW+wBqlvb4zmLFxAnhFYQ==" spinCount="100000" sheet="1" objects="1" scenarios="1"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458" priority="35" stopIfTrue="1" operator="equal">
      <formula>0</formula>
    </cfRule>
  </conditionalFormatting>
  <conditionalFormatting sqref="C6:AG9">
    <cfRule type="expression" dxfId="457" priority="33">
      <formula>C$9="FT"</formula>
    </cfRule>
    <cfRule type="expression" dxfId="456" priority="34">
      <formula>C$8&gt;5</formula>
    </cfRule>
  </conditionalFormatting>
  <conditionalFormatting sqref="B50">
    <cfRule type="expression" dxfId="455" priority="31">
      <formula>B$50="WS"</formula>
    </cfRule>
    <cfRule type="expression" dxfId="454" priority="32">
      <formula>B$50="SZ"</formula>
    </cfRule>
  </conditionalFormatting>
  <conditionalFormatting sqref="C10:AG49">
    <cfRule type="expression" dxfId="453" priority="4" stopIfTrue="1">
      <formula>C10="U"</formula>
    </cfRule>
    <cfRule type="expression" dxfId="452" priority="5">
      <formula>C10="K"</formula>
    </cfRule>
    <cfRule type="expression" dxfId="451" priority="6">
      <formula>C10="AWP"</formula>
    </cfRule>
    <cfRule type="expression" dxfId="450" priority="21" stopIfTrue="1">
      <formula>C10="TES"</formula>
    </cfRule>
    <cfRule type="expression" dxfId="449" priority="27" stopIfTrue="1">
      <formula>C10="S"</formula>
    </cfRule>
    <cfRule type="expression" dxfId="448" priority="28">
      <formula>C$9="FT"</formula>
    </cfRule>
    <cfRule type="expression" dxfId="447" priority="29">
      <formula>C$8&gt;5</formula>
    </cfRule>
    <cfRule type="expression" dxfId="446" priority="30" stopIfTrue="1">
      <formula>OR(C10="X",C10="FS")</formula>
    </cfRule>
  </conditionalFormatting>
  <conditionalFormatting sqref="C50:AG50">
    <cfRule type="expression" dxfId="445" priority="22" stopIfTrue="1">
      <formula>C$50="S"</formula>
    </cfRule>
  </conditionalFormatting>
  <conditionalFormatting sqref="AI10:AI49">
    <cfRule type="cellIs" dxfId="444" priority="25" stopIfTrue="1" operator="equal">
      <formula>0</formula>
    </cfRule>
    <cfRule type="cellIs" dxfId="443" priority="26" operator="greaterThan">
      <formula>0</formula>
    </cfRule>
  </conditionalFormatting>
  <conditionalFormatting sqref="AH10:AH49">
    <cfRule type="cellIs" dxfId="442" priority="24" operator="equal">
      <formula>0</formula>
    </cfRule>
  </conditionalFormatting>
  <conditionalFormatting sqref="AJ10:AJ49">
    <cfRule type="cellIs" dxfId="441" priority="23" operator="equal">
      <formula>0</formula>
    </cfRule>
  </conditionalFormatting>
  <conditionalFormatting sqref="C84:AG84">
    <cfRule type="expression" dxfId="440" priority="12" stopIfTrue="1">
      <formula>IF($B$84="",1,0)</formula>
    </cfRule>
    <cfRule type="expression" dxfId="439" priority="36" stopIfTrue="1">
      <formula>IF(C$84&lt;&gt;$C$104,1,0)</formula>
    </cfRule>
    <cfRule type="expression" dxfId="438" priority="37" stopIfTrue="1">
      <formula>IF(C$84=$C$104,1,0)</formula>
    </cfRule>
  </conditionalFormatting>
  <conditionalFormatting sqref="C85:AG85">
    <cfRule type="expression" dxfId="437" priority="13" stopIfTrue="1">
      <formula>IF($B$85="",1,0)</formula>
    </cfRule>
    <cfRule type="expression" dxfId="436" priority="38">
      <formula>IF(C$85=$C$105,1,0)</formula>
    </cfRule>
    <cfRule type="expression" dxfId="435" priority="39">
      <formula>IF(C$85&lt;&gt;$C$105,1,0)</formula>
    </cfRule>
  </conditionalFormatting>
  <conditionalFormatting sqref="C86:AG86">
    <cfRule type="expression" dxfId="434" priority="14" stopIfTrue="1">
      <formula>IF($B$86="",1,0)</formula>
    </cfRule>
    <cfRule type="expression" dxfId="433" priority="40" stopIfTrue="1">
      <formula>IF(C$86&lt;&gt;$C$106,1,0)</formula>
    </cfRule>
    <cfRule type="expression" dxfId="432" priority="41" stopIfTrue="1">
      <formula>IF(C$86=$C$106,1,0)</formula>
    </cfRule>
  </conditionalFormatting>
  <conditionalFormatting sqref="C79:AG79">
    <cfRule type="expression" dxfId="431" priority="7">
      <formula>IF($B$79="",1,0)</formula>
    </cfRule>
    <cfRule type="expression" dxfId="430" priority="42">
      <formula>IF(C$79=$C$99,1,0)</formula>
    </cfRule>
    <cfRule type="expression" dxfId="429" priority="43">
      <formula>IF(C$79&lt;&gt;$C$99,1,0)</formula>
    </cfRule>
  </conditionalFormatting>
  <conditionalFormatting sqref="C81:AG81">
    <cfRule type="expression" dxfId="428" priority="9">
      <formula>IF($B$81="",1,0)</formula>
    </cfRule>
    <cfRule type="expression" dxfId="427" priority="44">
      <formula>IF(C$81=$C$101,1,0)</formula>
    </cfRule>
    <cfRule type="expression" dxfId="426" priority="45">
      <formula>IF(C$81&lt;&gt;$C$101,1,0)</formula>
    </cfRule>
  </conditionalFormatting>
  <conditionalFormatting sqref="C80:AG80">
    <cfRule type="expression" dxfId="425" priority="8">
      <formula>IF($B$80="",1,0)</formula>
    </cfRule>
    <cfRule type="expression" dxfId="424" priority="46">
      <formula>IF(C$80&lt;&gt;$C$100,1,0)</formula>
    </cfRule>
    <cfRule type="expression" dxfId="423" priority="47">
      <formula>IF(C$80=$C$100,1,0)</formula>
    </cfRule>
  </conditionalFormatting>
  <conditionalFormatting sqref="C82:AG82">
    <cfRule type="expression" dxfId="422" priority="10">
      <formula>IF($B$82="",1,0)</formula>
    </cfRule>
    <cfRule type="expression" dxfId="421" priority="48">
      <formula>IF(C$82&lt;&gt;$C$102,1,0)</formula>
    </cfRule>
    <cfRule type="expression" dxfId="420" priority="49">
      <formula>IF(C$82=$C$102,1,0)</formula>
    </cfRule>
  </conditionalFormatting>
  <conditionalFormatting sqref="C83:AG83">
    <cfRule type="expression" dxfId="419" priority="11" stopIfTrue="1">
      <formula>IF($B$83="",1,0)</formula>
    </cfRule>
    <cfRule type="expression" dxfId="418" priority="50" stopIfTrue="1">
      <formula>IF(C$83=$C$103,1,0)</formula>
    </cfRule>
    <cfRule type="expression" dxfId="417" priority="51" stopIfTrue="1">
      <formula>IF(C$83&lt;&gt;$C$103,1,0)</formula>
    </cfRule>
  </conditionalFormatting>
  <conditionalFormatting sqref="C88:AG88">
    <cfRule type="expression" dxfId="416" priority="16" stopIfTrue="1">
      <formula>IF($B$88="",1,0)</formula>
    </cfRule>
    <cfRule type="expression" dxfId="415" priority="19" stopIfTrue="1">
      <formula>IF(C$88&lt;&gt;$C$108,1,0)</formula>
    </cfRule>
    <cfRule type="expression" dxfId="414" priority="20" stopIfTrue="1">
      <formula>IF(C$88=$C$108,1,0)</formula>
    </cfRule>
  </conditionalFormatting>
  <conditionalFormatting sqref="C87:AG87">
    <cfRule type="expression" dxfId="413" priority="15" stopIfTrue="1">
      <formula>IF($B$87="",1,0)</formula>
    </cfRule>
    <cfRule type="expression" dxfId="412" priority="17" stopIfTrue="1">
      <formula>IF(C$87&lt;&gt;$C$107,1,0)</formula>
    </cfRule>
    <cfRule type="expression" dxfId="411" priority="18" stopIfTrue="1">
      <formula>IF(C$87=$C$107,1,0)</formula>
    </cfRule>
  </conditionalFormatting>
  <conditionalFormatting sqref="C5:AG5">
    <cfRule type="expression" dxfId="410" priority="3">
      <formula>C5="SZ"</formula>
    </cfRule>
  </conditionalFormatting>
  <conditionalFormatting sqref="B5">
    <cfRule type="expression" dxfId="409" priority="1">
      <formula>B$50="WS"</formula>
    </cfRule>
    <cfRule type="expression" dxfId="408" priority="2">
      <formula>B$50="SZ"</formula>
    </cfRule>
  </conditionalFormatting>
  <dataValidations count="1">
    <dataValidation type="list" allowBlank="1" showInputMessage="1" showErrorMessage="1" sqref="B10:B49" xr:uid="{FB56DC8E-5BDC-468A-8CA3-DD9870BC8F9B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D3E1-A692-4C8E-9FF9-10F1AA3A6049}">
  <sheetPr codeName="Dienstplan5">
    <tabColor theme="4"/>
    <pageSetUpPr fitToPage="1"/>
  </sheetPr>
  <dimension ref="A1:BB113"/>
  <sheetViews>
    <sheetView showGridLines="0" zoomScale="70" zoomScaleNormal="70" workbookViewId="0">
      <selection activeCell="C95" sqref="C95:H95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Mai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1.5.2025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45778</v>
      </c>
      <c r="D6" s="54">
        <f t="shared" ref="D6:AG6" si="0">IF(MONTH(DATE(YEAR($L$3),MONTH($L$3),COLUMN()-COLUMN($B6)))&gt;MONTH($L$3),"",DATE(YEAR($L$3),MONTH($L$3),COLUMN()-COLUMN($B6)))</f>
        <v>45779</v>
      </c>
      <c r="E6" s="54">
        <f t="shared" si="0"/>
        <v>45780</v>
      </c>
      <c r="F6" s="54">
        <f t="shared" si="0"/>
        <v>45781</v>
      </c>
      <c r="G6" s="54">
        <f t="shared" si="0"/>
        <v>45782</v>
      </c>
      <c r="H6" s="54">
        <f t="shared" si="0"/>
        <v>45783</v>
      </c>
      <c r="I6" s="54">
        <f t="shared" si="0"/>
        <v>45784</v>
      </c>
      <c r="J6" s="54">
        <f t="shared" si="0"/>
        <v>45785</v>
      </c>
      <c r="K6" s="54">
        <f t="shared" si="0"/>
        <v>45786</v>
      </c>
      <c r="L6" s="54">
        <f t="shared" si="0"/>
        <v>45787</v>
      </c>
      <c r="M6" s="54">
        <f t="shared" si="0"/>
        <v>45788</v>
      </c>
      <c r="N6" s="54">
        <f t="shared" si="0"/>
        <v>45789</v>
      </c>
      <c r="O6" s="54">
        <f t="shared" si="0"/>
        <v>45790</v>
      </c>
      <c r="P6" s="54">
        <f t="shared" si="0"/>
        <v>45791</v>
      </c>
      <c r="Q6" s="54">
        <f t="shared" si="0"/>
        <v>45792</v>
      </c>
      <c r="R6" s="54">
        <f t="shared" si="0"/>
        <v>45793</v>
      </c>
      <c r="S6" s="54">
        <f t="shared" si="0"/>
        <v>45794</v>
      </c>
      <c r="T6" s="54">
        <f t="shared" si="0"/>
        <v>45795</v>
      </c>
      <c r="U6" s="54">
        <f t="shared" si="0"/>
        <v>45796</v>
      </c>
      <c r="V6" s="54">
        <f t="shared" si="0"/>
        <v>45797</v>
      </c>
      <c r="W6" s="54">
        <f t="shared" si="0"/>
        <v>45798</v>
      </c>
      <c r="X6" s="54">
        <f t="shared" si="0"/>
        <v>45799</v>
      </c>
      <c r="Y6" s="54">
        <f t="shared" si="0"/>
        <v>45800</v>
      </c>
      <c r="Z6" s="54">
        <f t="shared" si="0"/>
        <v>45801</v>
      </c>
      <c r="AA6" s="54">
        <f t="shared" si="0"/>
        <v>45802</v>
      </c>
      <c r="AB6" s="54">
        <f t="shared" si="0"/>
        <v>45803</v>
      </c>
      <c r="AC6" s="54">
        <f t="shared" si="0"/>
        <v>45804</v>
      </c>
      <c r="AD6" s="54">
        <f t="shared" si="0"/>
        <v>45805</v>
      </c>
      <c r="AE6" s="54">
        <f t="shared" si="0"/>
        <v>45806</v>
      </c>
      <c r="AF6" s="54">
        <f t="shared" si="0"/>
        <v>45807</v>
      </c>
      <c r="AG6" s="55">
        <f t="shared" si="0"/>
        <v>45808</v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45778</v>
      </c>
      <c r="D7" s="57">
        <f t="shared" ref="D7:AG7" si="1">IF(MONTH(DATE(YEAR($L$3),MONTH($L$3),COLUMN()-COLUMN($B6)))&gt;MONTH($L$3),"",DATE(YEAR($L$3),MONTH($L$3),COLUMN()-COLUMN($B6)))</f>
        <v>45779</v>
      </c>
      <c r="E7" s="57">
        <f t="shared" si="1"/>
        <v>45780</v>
      </c>
      <c r="F7" s="57">
        <f t="shared" si="1"/>
        <v>45781</v>
      </c>
      <c r="G7" s="57">
        <f t="shared" si="1"/>
        <v>45782</v>
      </c>
      <c r="H7" s="57">
        <f t="shared" si="1"/>
        <v>45783</v>
      </c>
      <c r="I7" s="57">
        <f t="shared" si="1"/>
        <v>45784</v>
      </c>
      <c r="J7" s="57">
        <f t="shared" si="1"/>
        <v>45785</v>
      </c>
      <c r="K7" s="57">
        <f t="shared" si="1"/>
        <v>45786</v>
      </c>
      <c r="L7" s="57">
        <f t="shared" si="1"/>
        <v>45787</v>
      </c>
      <c r="M7" s="57">
        <f t="shared" si="1"/>
        <v>45788</v>
      </c>
      <c r="N7" s="57">
        <f t="shared" si="1"/>
        <v>45789</v>
      </c>
      <c r="O7" s="57">
        <f t="shared" si="1"/>
        <v>45790</v>
      </c>
      <c r="P7" s="57">
        <f t="shared" si="1"/>
        <v>45791</v>
      </c>
      <c r="Q7" s="57">
        <f t="shared" si="1"/>
        <v>45792</v>
      </c>
      <c r="R7" s="57">
        <f t="shared" si="1"/>
        <v>45793</v>
      </c>
      <c r="S7" s="57">
        <f t="shared" si="1"/>
        <v>45794</v>
      </c>
      <c r="T7" s="57">
        <f t="shared" si="1"/>
        <v>45795</v>
      </c>
      <c r="U7" s="57">
        <f t="shared" si="1"/>
        <v>45796</v>
      </c>
      <c r="V7" s="57">
        <f t="shared" si="1"/>
        <v>45797</v>
      </c>
      <c r="W7" s="57">
        <f t="shared" si="1"/>
        <v>45798</v>
      </c>
      <c r="X7" s="57">
        <f t="shared" si="1"/>
        <v>45799</v>
      </c>
      <c r="Y7" s="57">
        <f t="shared" si="1"/>
        <v>45800</v>
      </c>
      <c r="Z7" s="57">
        <f t="shared" si="1"/>
        <v>45801</v>
      </c>
      <c r="AA7" s="57">
        <f t="shared" si="1"/>
        <v>45802</v>
      </c>
      <c r="AB7" s="57">
        <f t="shared" si="1"/>
        <v>45803</v>
      </c>
      <c r="AC7" s="57">
        <f t="shared" si="1"/>
        <v>45804</v>
      </c>
      <c r="AD7" s="57">
        <f t="shared" si="1"/>
        <v>45805</v>
      </c>
      <c r="AE7" s="57">
        <f t="shared" si="1"/>
        <v>45806</v>
      </c>
      <c r="AF7" s="57">
        <f t="shared" si="1"/>
        <v>45807</v>
      </c>
      <c r="AG7" s="58">
        <f t="shared" si="1"/>
        <v>45808</v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4</v>
      </c>
      <c r="D8" s="45">
        <f>IFERROR(WEEKDAY(D6,2), 0)</f>
        <v>5</v>
      </c>
      <c r="E8" s="45">
        <f t="shared" ref="E8:AG8" si="2">IFERROR(WEEKDAY(E6,2), 0)</f>
        <v>6</v>
      </c>
      <c r="F8" s="45">
        <f t="shared" si="2"/>
        <v>7</v>
      </c>
      <c r="G8" s="45">
        <f t="shared" si="2"/>
        <v>1</v>
      </c>
      <c r="H8" s="45">
        <f t="shared" si="2"/>
        <v>2</v>
      </c>
      <c r="I8" s="45">
        <f t="shared" si="2"/>
        <v>3</v>
      </c>
      <c r="J8" s="45">
        <f t="shared" si="2"/>
        <v>4</v>
      </c>
      <c r="K8" s="45">
        <f t="shared" si="2"/>
        <v>5</v>
      </c>
      <c r="L8" s="45">
        <f t="shared" si="2"/>
        <v>6</v>
      </c>
      <c r="M8" s="45">
        <f t="shared" si="2"/>
        <v>7</v>
      </c>
      <c r="N8" s="45">
        <f t="shared" si="2"/>
        <v>1</v>
      </c>
      <c r="O8" s="45">
        <f t="shared" si="2"/>
        <v>2</v>
      </c>
      <c r="P8" s="45">
        <f t="shared" si="2"/>
        <v>3</v>
      </c>
      <c r="Q8" s="45">
        <f t="shared" si="2"/>
        <v>4</v>
      </c>
      <c r="R8" s="45">
        <f t="shared" si="2"/>
        <v>5</v>
      </c>
      <c r="S8" s="45">
        <f t="shared" si="2"/>
        <v>6</v>
      </c>
      <c r="T8" s="45">
        <f t="shared" si="2"/>
        <v>7</v>
      </c>
      <c r="U8" s="45">
        <f t="shared" si="2"/>
        <v>1</v>
      </c>
      <c r="V8" s="45">
        <f t="shared" si="2"/>
        <v>2</v>
      </c>
      <c r="W8" s="45">
        <f t="shared" si="2"/>
        <v>3</v>
      </c>
      <c r="X8" s="45">
        <f t="shared" si="2"/>
        <v>4</v>
      </c>
      <c r="Y8" s="45">
        <f t="shared" si="2"/>
        <v>5</v>
      </c>
      <c r="Z8" s="45">
        <f t="shared" si="2"/>
        <v>6</v>
      </c>
      <c r="AA8" s="45">
        <f t="shared" si="2"/>
        <v>7</v>
      </c>
      <c r="AB8" s="45">
        <f t="shared" si="2"/>
        <v>1</v>
      </c>
      <c r="AC8" s="45">
        <f t="shared" si="2"/>
        <v>2</v>
      </c>
      <c r="AD8" s="45">
        <f t="shared" si="2"/>
        <v>3</v>
      </c>
      <c r="AE8" s="45">
        <f t="shared" si="2"/>
        <v>4</v>
      </c>
      <c r="AF8" s="45">
        <f t="shared" si="2"/>
        <v>5</v>
      </c>
      <c r="AG8" s="48">
        <f t="shared" si="2"/>
        <v>6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>FT</v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/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>FT</v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45778</v>
      </c>
      <c r="D78" s="95">
        <f t="shared" ref="D78:AG78" si="10">D7</f>
        <v>45779</v>
      </c>
      <c r="E78" s="95">
        <f t="shared" si="10"/>
        <v>45780</v>
      </c>
      <c r="F78" s="95">
        <f t="shared" si="10"/>
        <v>45781</v>
      </c>
      <c r="G78" s="95">
        <f t="shared" si="10"/>
        <v>45782</v>
      </c>
      <c r="H78" s="95">
        <f t="shared" si="10"/>
        <v>45783</v>
      </c>
      <c r="I78" s="95">
        <f t="shared" si="10"/>
        <v>45784</v>
      </c>
      <c r="J78" s="95">
        <f t="shared" si="10"/>
        <v>45785</v>
      </c>
      <c r="K78" s="95">
        <f t="shared" si="10"/>
        <v>45786</v>
      </c>
      <c r="L78" s="95">
        <f t="shared" si="10"/>
        <v>45787</v>
      </c>
      <c r="M78" s="95">
        <f t="shared" si="10"/>
        <v>45788</v>
      </c>
      <c r="N78" s="95">
        <f t="shared" si="10"/>
        <v>45789</v>
      </c>
      <c r="O78" s="95">
        <f t="shared" si="10"/>
        <v>45790</v>
      </c>
      <c r="P78" s="95">
        <f t="shared" si="10"/>
        <v>45791</v>
      </c>
      <c r="Q78" s="95">
        <f t="shared" si="10"/>
        <v>45792</v>
      </c>
      <c r="R78" s="95">
        <f t="shared" si="10"/>
        <v>45793</v>
      </c>
      <c r="S78" s="95">
        <f t="shared" si="10"/>
        <v>45794</v>
      </c>
      <c r="T78" s="95">
        <f t="shared" si="10"/>
        <v>45795</v>
      </c>
      <c r="U78" s="95">
        <f t="shared" si="10"/>
        <v>45796</v>
      </c>
      <c r="V78" s="95">
        <f t="shared" si="10"/>
        <v>45797</v>
      </c>
      <c r="W78" s="95">
        <f t="shared" si="10"/>
        <v>45798</v>
      </c>
      <c r="X78" s="95">
        <f t="shared" si="10"/>
        <v>45799</v>
      </c>
      <c r="Y78" s="95">
        <f t="shared" si="10"/>
        <v>45800</v>
      </c>
      <c r="Z78" s="95">
        <f t="shared" si="10"/>
        <v>45801</v>
      </c>
      <c r="AA78" s="95">
        <f t="shared" si="10"/>
        <v>45802</v>
      </c>
      <c r="AB78" s="95">
        <f t="shared" si="10"/>
        <v>45803</v>
      </c>
      <c r="AC78" s="95">
        <f t="shared" si="10"/>
        <v>45804</v>
      </c>
      <c r="AD78" s="95">
        <f t="shared" si="10"/>
        <v>45805</v>
      </c>
      <c r="AE78" s="95">
        <f t="shared" si="10"/>
        <v>45806</v>
      </c>
      <c r="AF78" s="95">
        <f t="shared" si="10"/>
        <v>45807</v>
      </c>
      <c r="AG78" s="95">
        <f t="shared" si="10"/>
        <v>45808</v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5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algorithmName="SHA-512" hashValue="IIJDqY2KmDyMjG7hOGqvmSoXK1397TO5PFaZP30wKoHCiSA94c9KAaaLF7+KKiJxdEAI5iQWDdnfgMVISNh16w==" saltValue="9YAq+/GFtEgvViOI04B4Yw==" spinCount="100000" sheet="1" objects="1" scenarios="1"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407" priority="35" stopIfTrue="1" operator="equal">
      <formula>0</formula>
    </cfRule>
  </conditionalFormatting>
  <conditionalFormatting sqref="C6:AG9">
    <cfRule type="expression" dxfId="406" priority="33">
      <formula>C$9="FT"</formula>
    </cfRule>
    <cfRule type="expression" dxfId="405" priority="34">
      <formula>C$8&gt;5</formula>
    </cfRule>
  </conditionalFormatting>
  <conditionalFormatting sqref="B50">
    <cfRule type="expression" dxfId="404" priority="31">
      <formula>B$50="WS"</formula>
    </cfRule>
    <cfRule type="expression" dxfId="403" priority="32">
      <formula>B$50="SZ"</formula>
    </cfRule>
  </conditionalFormatting>
  <conditionalFormatting sqref="C10:AG49">
    <cfRule type="expression" dxfId="402" priority="4" stopIfTrue="1">
      <formula>C10="U"</formula>
    </cfRule>
    <cfRule type="expression" dxfId="401" priority="5">
      <formula>C10="K"</formula>
    </cfRule>
    <cfRule type="expression" dxfId="400" priority="6">
      <formula>C10="AWP"</formula>
    </cfRule>
    <cfRule type="expression" dxfId="399" priority="21" stopIfTrue="1">
      <formula>C10="TES"</formula>
    </cfRule>
    <cfRule type="expression" dxfId="398" priority="27" stopIfTrue="1">
      <formula>C10="S"</formula>
    </cfRule>
    <cfRule type="expression" dxfId="397" priority="28">
      <formula>C$9="FT"</formula>
    </cfRule>
    <cfRule type="expression" dxfId="396" priority="29">
      <formula>C$8&gt;5</formula>
    </cfRule>
    <cfRule type="expression" dxfId="395" priority="30" stopIfTrue="1">
      <formula>OR(C10="X",C10="FS")</formula>
    </cfRule>
  </conditionalFormatting>
  <conditionalFormatting sqref="C50:AG50">
    <cfRule type="expression" dxfId="394" priority="22" stopIfTrue="1">
      <formula>C$50="S"</formula>
    </cfRule>
  </conditionalFormatting>
  <conditionalFormatting sqref="AI10:AI49">
    <cfRule type="cellIs" dxfId="393" priority="25" stopIfTrue="1" operator="equal">
      <formula>0</formula>
    </cfRule>
    <cfRule type="cellIs" dxfId="392" priority="26" operator="greaterThan">
      <formula>0</formula>
    </cfRule>
  </conditionalFormatting>
  <conditionalFormatting sqref="AH10:AH49">
    <cfRule type="cellIs" dxfId="391" priority="24" operator="equal">
      <formula>0</formula>
    </cfRule>
  </conditionalFormatting>
  <conditionalFormatting sqref="AJ10:AJ49">
    <cfRule type="cellIs" dxfId="390" priority="23" operator="equal">
      <formula>0</formula>
    </cfRule>
  </conditionalFormatting>
  <conditionalFormatting sqref="C84:AG84">
    <cfRule type="expression" dxfId="389" priority="12" stopIfTrue="1">
      <formula>IF($B$84="",1,0)</formula>
    </cfRule>
    <cfRule type="expression" dxfId="388" priority="36" stopIfTrue="1">
      <formula>IF(C$84&lt;&gt;$C$104,1,0)</formula>
    </cfRule>
    <cfRule type="expression" dxfId="387" priority="37" stopIfTrue="1">
      <formula>IF(C$84=$C$104,1,0)</formula>
    </cfRule>
  </conditionalFormatting>
  <conditionalFormatting sqref="C85:AG85">
    <cfRule type="expression" dxfId="386" priority="13" stopIfTrue="1">
      <formula>IF($B$85="",1,0)</formula>
    </cfRule>
    <cfRule type="expression" dxfId="385" priority="38">
      <formula>IF(C$85=$C$105,1,0)</formula>
    </cfRule>
    <cfRule type="expression" dxfId="384" priority="39">
      <formula>IF(C$85&lt;&gt;$C$105,1,0)</formula>
    </cfRule>
  </conditionalFormatting>
  <conditionalFormatting sqref="C86:AG86">
    <cfRule type="expression" dxfId="383" priority="14" stopIfTrue="1">
      <formula>IF($B$86="",1,0)</formula>
    </cfRule>
    <cfRule type="expression" dxfId="382" priority="40" stopIfTrue="1">
      <formula>IF(C$86&lt;&gt;$C$106,1,0)</formula>
    </cfRule>
    <cfRule type="expression" dxfId="381" priority="41" stopIfTrue="1">
      <formula>IF(C$86=$C$106,1,0)</formula>
    </cfRule>
  </conditionalFormatting>
  <conditionalFormatting sqref="C79:AG79">
    <cfRule type="expression" dxfId="380" priority="7">
      <formula>IF($B$79="",1,0)</formula>
    </cfRule>
    <cfRule type="expression" dxfId="379" priority="42">
      <formula>IF(C$79=$C$99,1,0)</formula>
    </cfRule>
    <cfRule type="expression" dxfId="378" priority="43">
      <formula>IF(C$79&lt;&gt;$C$99,1,0)</formula>
    </cfRule>
  </conditionalFormatting>
  <conditionalFormatting sqref="C81:AG81">
    <cfRule type="expression" dxfId="377" priority="9">
      <formula>IF($B$81="",1,0)</formula>
    </cfRule>
    <cfRule type="expression" dxfId="376" priority="44">
      <formula>IF(C$81=$C$101,1,0)</formula>
    </cfRule>
    <cfRule type="expression" dxfId="375" priority="45">
      <formula>IF(C$81&lt;&gt;$C$101,1,0)</formula>
    </cfRule>
  </conditionalFormatting>
  <conditionalFormatting sqref="C80:AG80">
    <cfRule type="expression" dxfId="374" priority="8">
      <formula>IF($B$80="",1,0)</formula>
    </cfRule>
    <cfRule type="expression" dxfId="373" priority="46">
      <formula>IF(C$80&lt;&gt;$C$100,1,0)</formula>
    </cfRule>
    <cfRule type="expression" dxfId="372" priority="47">
      <formula>IF(C$80=$C$100,1,0)</formula>
    </cfRule>
  </conditionalFormatting>
  <conditionalFormatting sqref="C82:AG82">
    <cfRule type="expression" dxfId="371" priority="10">
      <formula>IF($B$82="",1,0)</formula>
    </cfRule>
    <cfRule type="expression" dxfId="370" priority="48">
      <formula>IF(C$82&lt;&gt;$C$102,1,0)</formula>
    </cfRule>
    <cfRule type="expression" dxfId="369" priority="49">
      <formula>IF(C$82=$C$102,1,0)</formula>
    </cfRule>
  </conditionalFormatting>
  <conditionalFormatting sqref="C83:AG83">
    <cfRule type="expression" dxfId="368" priority="11" stopIfTrue="1">
      <formula>IF($B$83="",1,0)</formula>
    </cfRule>
    <cfRule type="expression" dxfId="367" priority="50" stopIfTrue="1">
      <formula>IF(C$83=$C$103,1,0)</formula>
    </cfRule>
    <cfRule type="expression" dxfId="366" priority="51" stopIfTrue="1">
      <formula>IF(C$83&lt;&gt;$C$103,1,0)</formula>
    </cfRule>
  </conditionalFormatting>
  <conditionalFormatting sqref="C88:AG88">
    <cfRule type="expression" dxfId="365" priority="16" stopIfTrue="1">
      <formula>IF($B$88="",1,0)</formula>
    </cfRule>
    <cfRule type="expression" dxfId="364" priority="19" stopIfTrue="1">
      <formula>IF(C$88&lt;&gt;$C$108,1,0)</formula>
    </cfRule>
    <cfRule type="expression" dxfId="363" priority="20" stopIfTrue="1">
      <formula>IF(C$88=$C$108,1,0)</formula>
    </cfRule>
  </conditionalFormatting>
  <conditionalFormatting sqref="C87:AG87">
    <cfRule type="expression" dxfId="362" priority="15" stopIfTrue="1">
      <formula>IF($B$87="",1,0)</formula>
    </cfRule>
    <cfRule type="expression" dxfId="361" priority="17" stopIfTrue="1">
      <formula>IF(C$87&lt;&gt;$C$107,1,0)</formula>
    </cfRule>
    <cfRule type="expression" dxfId="360" priority="18" stopIfTrue="1">
      <formula>IF(C$87=$C$107,1,0)</formula>
    </cfRule>
  </conditionalFormatting>
  <conditionalFormatting sqref="C5:AG5">
    <cfRule type="expression" dxfId="359" priority="3">
      <formula>C5="SZ"</formula>
    </cfRule>
  </conditionalFormatting>
  <conditionalFormatting sqref="B5">
    <cfRule type="expression" dxfId="358" priority="1">
      <formula>B$50="WS"</formula>
    </cfRule>
    <cfRule type="expression" dxfId="357" priority="2">
      <formula>B$50="SZ"</formula>
    </cfRule>
  </conditionalFormatting>
  <dataValidations count="1">
    <dataValidation type="list" allowBlank="1" showInputMessage="1" showErrorMessage="1" sqref="B10:B49" xr:uid="{F2911B67-F818-4D0D-9295-38C486460C12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67EE-6898-4403-BB80-43FF24302944}">
  <sheetPr codeName="Dienstplan6">
    <tabColor theme="4"/>
    <pageSetUpPr fitToPage="1"/>
  </sheetPr>
  <dimension ref="A1:BB113"/>
  <sheetViews>
    <sheetView showGridLines="0" zoomScale="70" zoomScaleNormal="70" workbookViewId="0">
      <selection activeCell="C95" sqref="C95:H95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Juni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1.6.2025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45809</v>
      </c>
      <c r="D6" s="54">
        <f t="shared" ref="D6:AG6" si="0">IF(MONTH(DATE(YEAR($L$3),MONTH($L$3),COLUMN()-COLUMN($B6)))&gt;MONTH($L$3),"",DATE(YEAR($L$3),MONTH($L$3),COLUMN()-COLUMN($B6)))</f>
        <v>45810</v>
      </c>
      <c r="E6" s="54">
        <f t="shared" si="0"/>
        <v>45811</v>
      </c>
      <c r="F6" s="54">
        <f t="shared" si="0"/>
        <v>45812</v>
      </c>
      <c r="G6" s="54">
        <f t="shared" si="0"/>
        <v>45813</v>
      </c>
      <c r="H6" s="54">
        <f t="shared" si="0"/>
        <v>45814</v>
      </c>
      <c r="I6" s="54">
        <f t="shared" si="0"/>
        <v>45815</v>
      </c>
      <c r="J6" s="54">
        <f t="shared" si="0"/>
        <v>45816</v>
      </c>
      <c r="K6" s="54">
        <f t="shared" si="0"/>
        <v>45817</v>
      </c>
      <c r="L6" s="54">
        <f t="shared" si="0"/>
        <v>45818</v>
      </c>
      <c r="M6" s="54">
        <f t="shared" si="0"/>
        <v>45819</v>
      </c>
      <c r="N6" s="54">
        <f t="shared" si="0"/>
        <v>45820</v>
      </c>
      <c r="O6" s="54">
        <f t="shared" si="0"/>
        <v>45821</v>
      </c>
      <c r="P6" s="54">
        <f t="shared" si="0"/>
        <v>45822</v>
      </c>
      <c r="Q6" s="54">
        <f t="shared" si="0"/>
        <v>45823</v>
      </c>
      <c r="R6" s="54">
        <f t="shared" si="0"/>
        <v>45824</v>
      </c>
      <c r="S6" s="54">
        <f t="shared" si="0"/>
        <v>45825</v>
      </c>
      <c r="T6" s="54">
        <f t="shared" si="0"/>
        <v>45826</v>
      </c>
      <c r="U6" s="54">
        <f t="shared" si="0"/>
        <v>45827</v>
      </c>
      <c r="V6" s="54">
        <f t="shared" si="0"/>
        <v>45828</v>
      </c>
      <c r="W6" s="54">
        <f t="shared" si="0"/>
        <v>45829</v>
      </c>
      <c r="X6" s="54">
        <f t="shared" si="0"/>
        <v>45830</v>
      </c>
      <c r="Y6" s="54">
        <f t="shared" si="0"/>
        <v>45831</v>
      </c>
      <c r="Z6" s="54">
        <f t="shared" si="0"/>
        <v>45832</v>
      </c>
      <c r="AA6" s="54">
        <f t="shared" si="0"/>
        <v>45833</v>
      </c>
      <c r="AB6" s="54">
        <f t="shared" si="0"/>
        <v>45834</v>
      </c>
      <c r="AC6" s="54">
        <f t="shared" si="0"/>
        <v>45835</v>
      </c>
      <c r="AD6" s="54">
        <f t="shared" si="0"/>
        <v>45836</v>
      </c>
      <c r="AE6" s="54">
        <f t="shared" si="0"/>
        <v>45837</v>
      </c>
      <c r="AF6" s="54">
        <f t="shared" si="0"/>
        <v>45838</v>
      </c>
      <c r="AG6" s="55" t="str">
        <f t="shared" si="0"/>
        <v/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45809</v>
      </c>
      <c r="D7" s="57">
        <f t="shared" ref="D7:AG7" si="1">IF(MONTH(DATE(YEAR($L$3),MONTH($L$3),COLUMN()-COLUMN($B6)))&gt;MONTH($L$3),"",DATE(YEAR($L$3),MONTH($L$3),COLUMN()-COLUMN($B6)))</f>
        <v>45810</v>
      </c>
      <c r="E7" s="57">
        <f t="shared" si="1"/>
        <v>45811</v>
      </c>
      <c r="F7" s="57">
        <f t="shared" si="1"/>
        <v>45812</v>
      </c>
      <c r="G7" s="57">
        <f t="shared" si="1"/>
        <v>45813</v>
      </c>
      <c r="H7" s="57">
        <f t="shared" si="1"/>
        <v>45814</v>
      </c>
      <c r="I7" s="57">
        <f t="shared" si="1"/>
        <v>45815</v>
      </c>
      <c r="J7" s="57">
        <f t="shared" si="1"/>
        <v>45816</v>
      </c>
      <c r="K7" s="57">
        <f t="shared" si="1"/>
        <v>45817</v>
      </c>
      <c r="L7" s="57">
        <f t="shared" si="1"/>
        <v>45818</v>
      </c>
      <c r="M7" s="57">
        <f t="shared" si="1"/>
        <v>45819</v>
      </c>
      <c r="N7" s="57">
        <f t="shared" si="1"/>
        <v>45820</v>
      </c>
      <c r="O7" s="57">
        <f t="shared" si="1"/>
        <v>45821</v>
      </c>
      <c r="P7" s="57">
        <f t="shared" si="1"/>
        <v>45822</v>
      </c>
      <c r="Q7" s="57">
        <f t="shared" si="1"/>
        <v>45823</v>
      </c>
      <c r="R7" s="57">
        <f t="shared" si="1"/>
        <v>45824</v>
      </c>
      <c r="S7" s="57">
        <f t="shared" si="1"/>
        <v>45825</v>
      </c>
      <c r="T7" s="57">
        <f t="shared" si="1"/>
        <v>45826</v>
      </c>
      <c r="U7" s="57">
        <f t="shared" si="1"/>
        <v>45827</v>
      </c>
      <c r="V7" s="57">
        <f t="shared" si="1"/>
        <v>45828</v>
      </c>
      <c r="W7" s="57">
        <f t="shared" si="1"/>
        <v>45829</v>
      </c>
      <c r="X7" s="57">
        <f t="shared" si="1"/>
        <v>45830</v>
      </c>
      <c r="Y7" s="57">
        <f t="shared" si="1"/>
        <v>45831</v>
      </c>
      <c r="Z7" s="57">
        <f t="shared" si="1"/>
        <v>45832</v>
      </c>
      <c r="AA7" s="57">
        <f t="shared" si="1"/>
        <v>45833</v>
      </c>
      <c r="AB7" s="57">
        <f t="shared" si="1"/>
        <v>45834</v>
      </c>
      <c r="AC7" s="57">
        <f t="shared" si="1"/>
        <v>45835</v>
      </c>
      <c r="AD7" s="57">
        <f t="shared" si="1"/>
        <v>45836</v>
      </c>
      <c r="AE7" s="57">
        <f t="shared" si="1"/>
        <v>45837</v>
      </c>
      <c r="AF7" s="57">
        <f t="shared" si="1"/>
        <v>45838</v>
      </c>
      <c r="AG7" s="58" t="str">
        <f t="shared" si="1"/>
        <v/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7</v>
      </c>
      <c r="D8" s="45">
        <f>IFERROR(WEEKDAY(D6,2), 0)</f>
        <v>1</v>
      </c>
      <c r="E8" s="45">
        <f t="shared" ref="E8:AG8" si="2">IFERROR(WEEKDAY(E6,2), 0)</f>
        <v>2</v>
      </c>
      <c r="F8" s="45">
        <f t="shared" si="2"/>
        <v>3</v>
      </c>
      <c r="G8" s="45">
        <f t="shared" si="2"/>
        <v>4</v>
      </c>
      <c r="H8" s="45">
        <f t="shared" si="2"/>
        <v>5</v>
      </c>
      <c r="I8" s="45">
        <f t="shared" si="2"/>
        <v>6</v>
      </c>
      <c r="J8" s="45">
        <f t="shared" si="2"/>
        <v>7</v>
      </c>
      <c r="K8" s="45">
        <f t="shared" si="2"/>
        <v>1</v>
      </c>
      <c r="L8" s="45">
        <f t="shared" si="2"/>
        <v>2</v>
      </c>
      <c r="M8" s="45">
        <f t="shared" si="2"/>
        <v>3</v>
      </c>
      <c r="N8" s="45">
        <f t="shared" si="2"/>
        <v>4</v>
      </c>
      <c r="O8" s="45">
        <f t="shared" si="2"/>
        <v>5</v>
      </c>
      <c r="P8" s="45">
        <f t="shared" si="2"/>
        <v>6</v>
      </c>
      <c r="Q8" s="45">
        <f t="shared" si="2"/>
        <v>7</v>
      </c>
      <c r="R8" s="45">
        <f t="shared" si="2"/>
        <v>1</v>
      </c>
      <c r="S8" s="45">
        <f t="shared" si="2"/>
        <v>2</v>
      </c>
      <c r="T8" s="45">
        <f t="shared" si="2"/>
        <v>3</v>
      </c>
      <c r="U8" s="45">
        <f t="shared" si="2"/>
        <v>4</v>
      </c>
      <c r="V8" s="45">
        <f t="shared" si="2"/>
        <v>5</v>
      </c>
      <c r="W8" s="45">
        <f t="shared" si="2"/>
        <v>6</v>
      </c>
      <c r="X8" s="45">
        <f t="shared" si="2"/>
        <v>7</v>
      </c>
      <c r="Y8" s="45">
        <f t="shared" si="2"/>
        <v>1</v>
      </c>
      <c r="Z8" s="45">
        <f t="shared" si="2"/>
        <v>2</v>
      </c>
      <c r="AA8" s="45">
        <f t="shared" si="2"/>
        <v>3</v>
      </c>
      <c r="AB8" s="45">
        <f t="shared" si="2"/>
        <v>4</v>
      </c>
      <c r="AC8" s="45">
        <f t="shared" si="2"/>
        <v>5</v>
      </c>
      <c r="AD8" s="45">
        <f t="shared" si="2"/>
        <v>6</v>
      </c>
      <c r="AE8" s="45">
        <f t="shared" si="2"/>
        <v>7</v>
      </c>
      <c r="AF8" s="45">
        <f t="shared" si="2"/>
        <v>1</v>
      </c>
      <c r="AG8" s="48">
        <f t="shared" si="2"/>
        <v>0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/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>FT</v>
      </c>
      <c r="K9" s="10" t="str">
        <f>IF(ISNA(VLOOKUP(K$6,Einstellungen!$B$8:$B$22,1,0)),"","FT")</f>
        <v>FT</v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>FT</v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45809</v>
      </c>
      <c r="D78" s="95">
        <f t="shared" ref="D78:AG78" si="10">D7</f>
        <v>45810</v>
      </c>
      <c r="E78" s="95">
        <f t="shared" si="10"/>
        <v>45811</v>
      </c>
      <c r="F78" s="95">
        <f t="shared" si="10"/>
        <v>45812</v>
      </c>
      <c r="G78" s="95">
        <f t="shared" si="10"/>
        <v>45813</v>
      </c>
      <c r="H78" s="95">
        <f t="shared" si="10"/>
        <v>45814</v>
      </c>
      <c r="I78" s="95">
        <f t="shared" si="10"/>
        <v>45815</v>
      </c>
      <c r="J78" s="95">
        <f t="shared" si="10"/>
        <v>45816</v>
      </c>
      <c r="K78" s="95">
        <f t="shared" si="10"/>
        <v>45817</v>
      </c>
      <c r="L78" s="95">
        <f t="shared" si="10"/>
        <v>45818</v>
      </c>
      <c r="M78" s="95">
        <f t="shared" si="10"/>
        <v>45819</v>
      </c>
      <c r="N78" s="95">
        <f t="shared" si="10"/>
        <v>45820</v>
      </c>
      <c r="O78" s="95">
        <f t="shared" si="10"/>
        <v>45821</v>
      </c>
      <c r="P78" s="95">
        <f t="shared" si="10"/>
        <v>45822</v>
      </c>
      <c r="Q78" s="95">
        <f t="shared" si="10"/>
        <v>45823</v>
      </c>
      <c r="R78" s="95">
        <f t="shared" si="10"/>
        <v>45824</v>
      </c>
      <c r="S78" s="95">
        <f t="shared" si="10"/>
        <v>45825</v>
      </c>
      <c r="T78" s="95">
        <f t="shared" si="10"/>
        <v>45826</v>
      </c>
      <c r="U78" s="95">
        <f t="shared" si="10"/>
        <v>45827</v>
      </c>
      <c r="V78" s="95">
        <f t="shared" si="10"/>
        <v>45828</v>
      </c>
      <c r="W78" s="95">
        <f t="shared" si="10"/>
        <v>45829</v>
      </c>
      <c r="X78" s="95">
        <f t="shared" si="10"/>
        <v>45830</v>
      </c>
      <c r="Y78" s="95">
        <f t="shared" si="10"/>
        <v>45831</v>
      </c>
      <c r="Z78" s="95">
        <f t="shared" si="10"/>
        <v>45832</v>
      </c>
      <c r="AA78" s="95">
        <f t="shared" si="10"/>
        <v>45833</v>
      </c>
      <c r="AB78" s="95">
        <f t="shared" si="10"/>
        <v>45834</v>
      </c>
      <c r="AC78" s="95">
        <f t="shared" si="10"/>
        <v>45835</v>
      </c>
      <c r="AD78" s="95">
        <f t="shared" si="10"/>
        <v>45836</v>
      </c>
      <c r="AE78" s="95">
        <f t="shared" si="10"/>
        <v>45837</v>
      </c>
      <c r="AF78" s="95">
        <f t="shared" si="10"/>
        <v>45838</v>
      </c>
      <c r="AG78" s="95" t="str">
        <f t="shared" si="10"/>
        <v/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6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algorithmName="SHA-512" hashValue="4cD9PtfLrjPAr5RAOYkfKrYxxlcMCPhMyThNcKt34/mw8EfQo9Q4x/XBgPy4n2Ve8qq12OUkLzM5e2CT38najQ==" saltValue="9ygZyNHZuBx2j2K5uOtzqQ==" spinCount="100000" sheet="1" objects="1" scenarios="1"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356" priority="35" stopIfTrue="1" operator="equal">
      <formula>0</formula>
    </cfRule>
  </conditionalFormatting>
  <conditionalFormatting sqref="C6:AG9">
    <cfRule type="expression" dxfId="355" priority="33">
      <formula>C$9="FT"</formula>
    </cfRule>
    <cfRule type="expression" dxfId="354" priority="34">
      <formula>C$8&gt;5</formula>
    </cfRule>
  </conditionalFormatting>
  <conditionalFormatting sqref="B50">
    <cfRule type="expression" dxfId="353" priority="31">
      <formula>B$50="WS"</formula>
    </cfRule>
    <cfRule type="expression" dxfId="352" priority="32">
      <formula>B$50="SZ"</formula>
    </cfRule>
  </conditionalFormatting>
  <conditionalFormatting sqref="C10:AG49">
    <cfRule type="expression" dxfId="351" priority="4" stopIfTrue="1">
      <formula>C10="U"</formula>
    </cfRule>
    <cfRule type="expression" dxfId="350" priority="5">
      <formula>C10="K"</formula>
    </cfRule>
    <cfRule type="expression" dxfId="349" priority="6">
      <formula>C10="AWP"</formula>
    </cfRule>
    <cfRule type="expression" dxfId="348" priority="21" stopIfTrue="1">
      <formula>C10="TES"</formula>
    </cfRule>
    <cfRule type="expression" dxfId="347" priority="27" stopIfTrue="1">
      <formula>C10="S"</formula>
    </cfRule>
    <cfRule type="expression" dxfId="346" priority="28">
      <formula>C$9="FT"</formula>
    </cfRule>
    <cfRule type="expression" dxfId="345" priority="29">
      <formula>C$8&gt;5</formula>
    </cfRule>
    <cfRule type="expression" dxfId="344" priority="30" stopIfTrue="1">
      <formula>OR(C10="X",C10="FS")</formula>
    </cfRule>
  </conditionalFormatting>
  <conditionalFormatting sqref="C50:AG50">
    <cfRule type="expression" dxfId="343" priority="22" stopIfTrue="1">
      <formula>C$50="S"</formula>
    </cfRule>
  </conditionalFormatting>
  <conditionalFormatting sqref="AI10:AI49">
    <cfRule type="cellIs" dxfId="342" priority="25" stopIfTrue="1" operator="equal">
      <formula>0</formula>
    </cfRule>
    <cfRule type="cellIs" dxfId="341" priority="26" operator="greaterThan">
      <formula>0</formula>
    </cfRule>
  </conditionalFormatting>
  <conditionalFormatting sqref="AH10:AH49">
    <cfRule type="cellIs" dxfId="340" priority="24" operator="equal">
      <formula>0</formula>
    </cfRule>
  </conditionalFormatting>
  <conditionalFormatting sqref="AJ10:AJ49">
    <cfRule type="cellIs" dxfId="339" priority="23" operator="equal">
      <formula>0</formula>
    </cfRule>
  </conditionalFormatting>
  <conditionalFormatting sqref="C84:AG84">
    <cfRule type="expression" dxfId="338" priority="12" stopIfTrue="1">
      <formula>IF($B$84="",1,0)</formula>
    </cfRule>
    <cfRule type="expression" dxfId="337" priority="36" stopIfTrue="1">
      <formula>IF(C$84&lt;&gt;$C$104,1,0)</formula>
    </cfRule>
    <cfRule type="expression" dxfId="336" priority="37" stopIfTrue="1">
      <formula>IF(C$84=$C$104,1,0)</formula>
    </cfRule>
  </conditionalFormatting>
  <conditionalFormatting sqref="C85:AG85">
    <cfRule type="expression" dxfId="335" priority="13" stopIfTrue="1">
      <formula>IF($B$85="",1,0)</formula>
    </cfRule>
    <cfRule type="expression" dxfId="334" priority="38">
      <formula>IF(C$85=$C$105,1,0)</formula>
    </cfRule>
    <cfRule type="expression" dxfId="333" priority="39">
      <formula>IF(C$85&lt;&gt;$C$105,1,0)</formula>
    </cfRule>
  </conditionalFormatting>
  <conditionalFormatting sqref="C86:AG86">
    <cfRule type="expression" dxfId="332" priority="14" stopIfTrue="1">
      <formula>IF($B$86="",1,0)</formula>
    </cfRule>
    <cfRule type="expression" dxfId="331" priority="40" stopIfTrue="1">
      <formula>IF(C$86&lt;&gt;$C$106,1,0)</formula>
    </cfRule>
    <cfRule type="expression" dxfId="330" priority="41" stopIfTrue="1">
      <formula>IF(C$86=$C$106,1,0)</formula>
    </cfRule>
  </conditionalFormatting>
  <conditionalFormatting sqref="C79:AG79">
    <cfRule type="expression" dxfId="329" priority="7">
      <formula>IF($B$79="",1,0)</formula>
    </cfRule>
    <cfRule type="expression" dxfId="328" priority="42">
      <formula>IF(C$79=$C$99,1,0)</formula>
    </cfRule>
    <cfRule type="expression" dxfId="327" priority="43">
      <formula>IF(C$79&lt;&gt;$C$99,1,0)</formula>
    </cfRule>
  </conditionalFormatting>
  <conditionalFormatting sqref="C81:AG81">
    <cfRule type="expression" dxfId="326" priority="9">
      <formula>IF($B$81="",1,0)</formula>
    </cfRule>
    <cfRule type="expression" dxfId="325" priority="44">
      <formula>IF(C$81=$C$101,1,0)</formula>
    </cfRule>
    <cfRule type="expression" dxfId="324" priority="45">
      <formula>IF(C$81&lt;&gt;$C$101,1,0)</formula>
    </cfRule>
  </conditionalFormatting>
  <conditionalFormatting sqref="C80:AG80">
    <cfRule type="expression" dxfId="323" priority="8">
      <formula>IF($B$80="",1,0)</formula>
    </cfRule>
    <cfRule type="expression" dxfId="322" priority="46">
      <formula>IF(C$80&lt;&gt;$C$100,1,0)</formula>
    </cfRule>
    <cfRule type="expression" dxfId="321" priority="47">
      <formula>IF(C$80=$C$100,1,0)</formula>
    </cfRule>
  </conditionalFormatting>
  <conditionalFormatting sqref="C82:AG82">
    <cfRule type="expression" dxfId="320" priority="10">
      <formula>IF($B$82="",1,0)</formula>
    </cfRule>
    <cfRule type="expression" dxfId="319" priority="48">
      <formula>IF(C$82&lt;&gt;$C$102,1,0)</formula>
    </cfRule>
    <cfRule type="expression" dxfId="318" priority="49">
      <formula>IF(C$82=$C$102,1,0)</formula>
    </cfRule>
  </conditionalFormatting>
  <conditionalFormatting sqref="C83:AG83">
    <cfRule type="expression" dxfId="317" priority="11" stopIfTrue="1">
      <formula>IF($B$83="",1,0)</formula>
    </cfRule>
    <cfRule type="expression" dxfId="316" priority="50" stopIfTrue="1">
      <formula>IF(C$83=$C$103,1,0)</formula>
    </cfRule>
    <cfRule type="expression" dxfId="315" priority="51" stopIfTrue="1">
      <formula>IF(C$83&lt;&gt;$C$103,1,0)</formula>
    </cfRule>
  </conditionalFormatting>
  <conditionalFormatting sqref="C88:AG88">
    <cfRule type="expression" dxfId="314" priority="16" stopIfTrue="1">
      <formula>IF($B$88="",1,0)</formula>
    </cfRule>
    <cfRule type="expression" dxfId="313" priority="19" stopIfTrue="1">
      <formula>IF(C$88&lt;&gt;$C$108,1,0)</formula>
    </cfRule>
    <cfRule type="expression" dxfId="312" priority="20" stopIfTrue="1">
      <formula>IF(C$88=$C$108,1,0)</formula>
    </cfRule>
  </conditionalFormatting>
  <conditionalFormatting sqref="C87:AG87">
    <cfRule type="expression" dxfId="311" priority="15" stopIfTrue="1">
      <formula>IF($B$87="",1,0)</formula>
    </cfRule>
    <cfRule type="expression" dxfId="310" priority="17" stopIfTrue="1">
      <formula>IF(C$87&lt;&gt;$C$107,1,0)</formula>
    </cfRule>
    <cfRule type="expression" dxfId="309" priority="18" stopIfTrue="1">
      <formula>IF(C$87=$C$107,1,0)</formula>
    </cfRule>
  </conditionalFormatting>
  <conditionalFormatting sqref="C5:AG5">
    <cfRule type="expression" dxfId="308" priority="3">
      <formula>C5="SZ"</formula>
    </cfRule>
  </conditionalFormatting>
  <conditionalFormatting sqref="B5">
    <cfRule type="expression" dxfId="307" priority="1">
      <formula>B$50="WS"</formula>
    </cfRule>
    <cfRule type="expression" dxfId="306" priority="2">
      <formula>B$50="SZ"</formula>
    </cfRule>
  </conditionalFormatting>
  <dataValidations count="1">
    <dataValidation type="list" allowBlank="1" showInputMessage="1" showErrorMessage="1" sqref="B10:B49" xr:uid="{551D43BB-C33B-448A-A6C0-AD7710D36041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941B1-9900-4F1F-BEF9-885B6138F762}">
  <sheetPr codeName="Dienstplan7">
    <tabColor theme="4"/>
    <pageSetUpPr fitToPage="1"/>
  </sheetPr>
  <dimension ref="A1:BB113"/>
  <sheetViews>
    <sheetView showGridLines="0" zoomScale="70" zoomScaleNormal="70" workbookViewId="0">
      <selection activeCell="C95" sqref="C95:H95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Juli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1.7.2025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45839</v>
      </c>
      <c r="D6" s="54">
        <f t="shared" ref="D6:AG6" si="0">IF(MONTH(DATE(YEAR($L$3),MONTH($L$3),COLUMN()-COLUMN($B6)))&gt;MONTH($L$3),"",DATE(YEAR($L$3),MONTH($L$3),COLUMN()-COLUMN($B6)))</f>
        <v>45840</v>
      </c>
      <c r="E6" s="54">
        <f t="shared" si="0"/>
        <v>45841</v>
      </c>
      <c r="F6" s="54">
        <f t="shared" si="0"/>
        <v>45842</v>
      </c>
      <c r="G6" s="54">
        <f t="shared" si="0"/>
        <v>45843</v>
      </c>
      <c r="H6" s="54">
        <f t="shared" si="0"/>
        <v>45844</v>
      </c>
      <c r="I6" s="54">
        <f t="shared" si="0"/>
        <v>45845</v>
      </c>
      <c r="J6" s="54">
        <f t="shared" si="0"/>
        <v>45846</v>
      </c>
      <c r="K6" s="54">
        <f t="shared" si="0"/>
        <v>45847</v>
      </c>
      <c r="L6" s="54">
        <f t="shared" si="0"/>
        <v>45848</v>
      </c>
      <c r="M6" s="54">
        <f t="shared" si="0"/>
        <v>45849</v>
      </c>
      <c r="N6" s="54">
        <f t="shared" si="0"/>
        <v>45850</v>
      </c>
      <c r="O6" s="54">
        <f t="shared" si="0"/>
        <v>45851</v>
      </c>
      <c r="P6" s="54">
        <f t="shared" si="0"/>
        <v>45852</v>
      </c>
      <c r="Q6" s="54">
        <f t="shared" si="0"/>
        <v>45853</v>
      </c>
      <c r="R6" s="54">
        <f t="shared" si="0"/>
        <v>45854</v>
      </c>
      <c r="S6" s="54">
        <f t="shared" si="0"/>
        <v>45855</v>
      </c>
      <c r="T6" s="54">
        <f t="shared" si="0"/>
        <v>45856</v>
      </c>
      <c r="U6" s="54">
        <f t="shared" si="0"/>
        <v>45857</v>
      </c>
      <c r="V6" s="54">
        <f t="shared" si="0"/>
        <v>45858</v>
      </c>
      <c r="W6" s="54">
        <f t="shared" si="0"/>
        <v>45859</v>
      </c>
      <c r="X6" s="54">
        <f t="shared" si="0"/>
        <v>45860</v>
      </c>
      <c r="Y6" s="54">
        <f t="shared" si="0"/>
        <v>45861</v>
      </c>
      <c r="Z6" s="54">
        <f t="shared" si="0"/>
        <v>45862</v>
      </c>
      <c r="AA6" s="54">
        <f t="shared" si="0"/>
        <v>45863</v>
      </c>
      <c r="AB6" s="54">
        <f t="shared" si="0"/>
        <v>45864</v>
      </c>
      <c r="AC6" s="54">
        <f t="shared" si="0"/>
        <v>45865</v>
      </c>
      <c r="AD6" s="54">
        <f t="shared" si="0"/>
        <v>45866</v>
      </c>
      <c r="AE6" s="54">
        <f t="shared" si="0"/>
        <v>45867</v>
      </c>
      <c r="AF6" s="54">
        <f t="shared" si="0"/>
        <v>45868</v>
      </c>
      <c r="AG6" s="55">
        <f t="shared" si="0"/>
        <v>45869</v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45839</v>
      </c>
      <c r="D7" s="57">
        <f t="shared" ref="D7:AG7" si="1">IF(MONTH(DATE(YEAR($L$3),MONTH($L$3),COLUMN()-COLUMN($B6)))&gt;MONTH($L$3),"",DATE(YEAR($L$3),MONTH($L$3),COLUMN()-COLUMN($B6)))</f>
        <v>45840</v>
      </c>
      <c r="E7" s="57">
        <f t="shared" si="1"/>
        <v>45841</v>
      </c>
      <c r="F7" s="57">
        <f t="shared" si="1"/>
        <v>45842</v>
      </c>
      <c r="G7" s="57">
        <f t="shared" si="1"/>
        <v>45843</v>
      </c>
      <c r="H7" s="57">
        <f t="shared" si="1"/>
        <v>45844</v>
      </c>
      <c r="I7" s="57">
        <f t="shared" si="1"/>
        <v>45845</v>
      </c>
      <c r="J7" s="57">
        <f t="shared" si="1"/>
        <v>45846</v>
      </c>
      <c r="K7" s="57">
        <f t="shared" si="1"/>
        <v>45847</v>
      </c>
      <c r="L7" s="57">
        <f t="shared" si="1"/>
        <v>45848</v>
      </c>
      <c r="M7" s="57">
        <f t="shared" si="1"/>
        <v>45849</v>
      </c>
      <c r="N7" s="57">
        <f t="shared" si="1"/>
        <v>45850</v>
      </c>
      <c r="O7" s="57">
        <f t="shared" si="1"/>
        <v>45851</v>
      </c>
      <c r="P7" s="57">
        <f t="shared" si="1"/>
        <v>45852</v>
      </c>
      <c r="Q7" s="57">
        <f t="shared" si="1"/>
        <v>45853</v>
      </c>
      <c r="R7" s="57">
        <f t="shared" si="1"/>
        <v>45854</v>
      </c>
      <c r="S7" s="57">
        <f t="shared" si="1"/>
        <v>45855</v>
      </c>
      <c r="T7" s="57">
        <f t="shared" si="1"/>
        <v>45856</v>
      </c>
      <c r="U7" s="57">
        <f t="shared" si="1"/>
        <v>45857</v>
      </c>
      <c r="V7" s="57">
        <f t="shared" si="1"/>
        <v>45858</v>
      </c>
      <c r="W7" s="57">
        <f t="shared" si="1"/>
        <v>45859</v>
      </c>
      <c r="X7" s="57">
        <f t="shared" si="1"/>
        <v>45860</v>
      </c>
      <c r="Y7" s="57">
        <f t="shared" si="1"/>
        <v>45861</v>
      </c>
      <c r="Z7" s="57">
        <f t="shared" si="1"/>
        <v>45862</v>
      </c>
      <c r="AA7" s="57">
        <f t="shared" si="1"/>
        <v>45863</v>
      </c>
      <c r="AB7" s="57">
        <f t="shared" si="1"/>
        <v>45864</v>
      </c>
      <c r="AC7" s="57">
        <f t="shared" si="1"/>
        <v>45865</v>
      </c>
      <c r="AD7" s="57">
        <f t="shared" si="1"/>
        <v>45866</v>
      </c>
      <c r="AE7" s="57">
        <f t="shared" si="1"/>
        <v>45867</v>
      </c>
      <c r="AF7" s="57">
        <f t="shared" si="1"/>
        <v>45868</v>
      </c>
      <c r="AG7" s="58">
        <f t="shared" si="1"/>
        <v>45869</v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2</v>
      </c>
      <c r="D8" s="45">
        <f>IFERROR(WEEKDAY(D6,2), 0)</f>
        <v>3</v>
      </c>
      <c r="E8" s="45">
        <f t="shared" ref="E8:AG8" si="2">IFERROR(WEEKDAY(E6,2), 0)</f>
        <v>4</v>
      </c>
      <c r="F8" s="45">
        <f t="shared" si="2"/>
        <v>5</v>
      </c>
      <c r="G8" s="45">
        <f t="shared" si="2"/>
        <v>6</v>
      </c>
      <c r="H8" s="45">
        <f t="shared" si="2"/>
        <v>7</v>
      </c>
      <c r="I8" s="45">
        <f t="shared" si="2"/>
        <v>1</v>
      </c>
      <c r="J8" s="45">
        <f t="shared" si="2"/>
        <v>2</v>
      </c>
      <c r="K8" s="45">
        <f t="shared" si="2"/>
        <v>3</v>
      </c>
      <c r="L8" s="45">
        <f t="shared" si="2"/>
        <v>4</v>
      </c>
      <c r="M8" s="45">
        <f t="shared" si="2"/>
        <v>5</v>
      </c>
      <c r="N8" s="45">
        <f t="shared" si="2"/>
        <v>6</v>
      </c>
      <c r="O8" s="45">
        <f t="shared" si="2"/>
        <v>7</v>
      </c>
      <c r="P8" s="45">
        <f t="shared" si="2"/>
        <v>1</v>
      </c>
      <c r="Q8" s="45">
        <f t="shared" si="2"/>
        <v>2</v>
      </c>
      <c r="R8" s="45">
        <f t="shared" si="2"/>
        <v>3</v>
      </c>
      <c r="S8" s="45">
        <f t="shared" si="2"/>
        <v>4</v>
      </c>
      <c r="T8" s="45">
        <f t="shared" si="2"/>
        <v>5</v>
      </c>
      <c r="U8" s="45">
        <f t="shared" si="2"/>
        <v>6</v>
      </c>
      <c r="V8" s="45">
        <f t="shared" si="2"/>
        <v>7</v>
      </c>
      <c r="W8" s="45">
        <f t="shared" si="2"/>
        <v>1</v>
      </c>
      <c r="X8" s="45">
        <f t="shared" si="2"/>
        <v>2</v>
      </c>
      <c r="Y8" s="45">
        <f t="shared" si="2"/>
        <v>3</v>
      </c>
      <c r="Z8" s="45">
        <f t="shared" si="2"/>
        <v>4</v>
      </c>
      <c r="AA8" s="45">
        <f t="shared" si="2"/>
        <v>5</v>
      </c>
      <c r="AB8" s="45">
        <f t="shared" si="2"/>
        <v>6</v>
      </c>
      <c r="AC8" s="45">
        <f t="shared" si="2"/>
        <v>7</v>
      </c>
      <c r="AD8" s="45">
        <f t="shared" si="2"/>
        <v>1</v>
      </c>
      <c r="AE8" s="45">
        <f t="shared" si="2"/>
        <v>2</v>
      </c>
      <c r="AF8" s="45">
        <f t="shared" si="2"/>
        <v>3</v>
      </c>
      <c r="AG8" s="48">
        <f t="shared" si="2"/>
        <v>4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/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/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45839</v>
      </c>
      <c r="D78" s="95">
        <f t="shared" ref="D78:AG78" si="10">D7</f>
        <v>45840</v>
      </c>
      <c r="E78" s="95">
        <f t="shared" si="10"/>
        <v>45841</v>
      </c>
      <c r="F78" s="95">
        <f t="shared" si="10"/>
        <v>45842</v>
      </c>
      <c r="G78" s="95">
        <f t="shared" si="10"/>
        <v>45843</v>
      </c>
      <c r="H78" s="95">
        <f t="shared" si="10"/>
        <v>45844</v>
      </c>
      <c r="I78" s="95">
        <f t="shared" si="10"/>
        <v>45845</v>
      </c>
      <c r="J78" s="95">
        <f t="shared" si="10"/>
        <v>45846</v>
      </c>
      <c r="K78" s="95">
        <f t="shared" si="10"/>
        <v>45847</v>
      </c>
      <c r="L78" s="95">
        <f t="shared" si="10"/>
        <v>45848</v>
      </c>
      <c r="M78" s="95">
        <f t="shared" si="10"/>
        <v>45849</v>
      </c>
      <c r="N78" s="95">
        <f t="shared" si="10"/>
        <v>45850</v>
      </c>
      <c r="O78" s="95">
        <f t="shared" si="10"/>
        <v>45851</v>
      </c>
      <c r="P78" s="95">
        <f t="shared" si="10"/>
        <v>45852</v>
      </c>
      <c r="Q78" s="95">
        <f t="shared" si="10"/>
        <v>45853</v>
      </c>
      <c r="R78" s="95">
        <f t="shared" si="10"/>
        <v>45854</v>
      </c>
      <c r="S78" s="95">
        <f t="shared" si="10"/>
        <v>45855</v>
      </c>
      <c r="T78" s="95">
        <f t="shared" si="10"/>
        <v>45856</v>
      </c>
      <c r="U78" s="95">
        <f t="shared" si="10"/>
        <v>45857</v>
      </c>
      <c r="V78" s="95">
        <f t="shared" si="10"/>
        <v>45858</v>
      </c>
      <c r="W78" s="95">
        <f t="shared" si="10"/>
        <v>45859</v>
      </c>
      <c r="X78" s="95">
        <f t="shared" si="10"/>
        <v>45860</v>
      </c>
      <c r="Y78" s="95">
        <f t="shared" si="10"/>
        <v>45861</v>
      </c>
      <c r="Z78" s="95">
        <f t="shared" si="10"/>
        <v>45862</v>
      </c>
      <c r="AA78" s="95">
        <f t="shared" si="10"/>
        <v>45863</v>
      </c>
      <c r="AB78" s="95">
        <f t="shared" si="10"/>
        <v>45864</v>
      </c>
      <c r="AC78" s="95">
        <f t="shared" si="10"/>
        <v>45865</v>
      </c>
      <c r="AD78" s="95">
        <f t="shared" si="10"/>
        <v>45866</v>
      </c>
      <c r="AE78" s="95">
        <f t="shared" si="10"/>
        <v>45867</v>
      </c>
      <c r="AF78" s="95">
        <f t="shared" si="10"/>
        <v>45868</v>
      </c>
      <c r="AG78" s="95">
        <f t="shared" si="10"/>
        <v>45869</v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7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algorithmName="SHA-512" hashValue="PwVr6XsqqcRozhOQNQ1IwTRjU62QGAXiVPaxbfiMvgbYnFUidq7LZI4bTFIvgJyeYHebwjOfU7Rrgpwzo1zXAQ==" saltValue="Sm6J/mZRObEyq+U1oNeBwg==" spinCount="100000" sheet="1" objects="1" scenarios="1"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305" priority="35" stopIfTrue="1" operator="equal">
      <formula>0</formula>
    </cfRule>
  </conditionalFormatting>
  <conditionalFormatting sqref="C6:AG9">
    <cfRule type="expression" dxfId="304" priority="33">
      <formula>C$9="FT"</formula>
    </cfRule>
    <cfRule type="expression" dxfId="303" priority="34">
      <formula>C$8&gt;5</formula>
    </cfRule>
  </conditionalFormatting>
  <conditionalFormatting sqref="B50">
    <cfRule type="expression" dxfId="302" priority="31">
      <formula>B$50="WS"</formula>
    </cfRule>
    <cfRule type="expression" dxfId="301" priority="32">
      <formula>B$50="SZ"</formula>
    </cfRule>
  </conditionalFormatting>
  <conditionalFormatting sqref="C10:AG49">
    <cfRule type="expression" dxfId="300" priority="4" stopIfTrue="1">
      <formula>C10="U"</formula>
    </cfRule>
    <cfRule type="expression" dxfId="299" priority="5">
      <formula>C10="K"</formula>
    </cfRule>
    <cfRule type="expression" dxfId="298" priority="6">
      <formula>C10="AWP"</formula>
    </cfRule>
    <cfRule type="expression" dxfId="297" priority="21" stopIfTrue="1">
      <formula>C10="TES"</formula>
    </cfRule>
    <cfRule type="expression" dxfId="296" priority="27" stopIfTrue="1">
      <formula>C10="S"</formula>
    </cfRule>
    <cfRule type="expression" dxfId="295" priority="28">
      <formula>C$9="FT"</formula>
    </cfRule>
    <cfRule type="expression" dxfId="294" priority="29">
      <formula>C$8&gt;5</formula>
    </cfRule>
    <cfRule type="expression" dxfId="293" priority="30" stopIfTrue="1">
      <formula>OR(C10="X",C10="FS")</formula>
    </cfRule>
  </conditionalFormatting>
  <conditionalFormatting sqref="C50:AG50">
    <cfRule type="expression" dxfId="292" priority="22" stopIfTrue="1">
      <formula>C$50="S"</formula>
    </cfRule>
  </conditionalFormatting>
  <conditionalFormatting sqref="AI10:AI49">
    <cfRule type="cellIs" dxfId="291" priority="25" stopIfTrue="1" operator="equal">
      <formula>0</formula>
    </cfRule>
    <cfRule type="cellIs" dxfId="290" priority="26" operator="greaterThan">
      <formula>0</formula>
    </cfRule>
  </conditionalFormatting>
  <conditionalFormatting sqref="AH10:AH49">
    <cfRule type="cellIs" dxfId="289" priority="24" operator="equal">
      <formula>0</formula>
    </cfRule>
  </conditionalFormatting>
  <conditionalFormatting sqref="AJ10:AJ49">
    <cfRule type="cellIs" dxfId="288" priority="23" operator="equal">
      <formula>0</formula>
    </cfRule>
  </conditionalFormatting>
  <conditionalFormatting sqref="C84:AG84">
    <cfRule type="expression" dxfId="287" priority="12" stopIfTrue="1">
      <formula>IF($B$84="",1,0)</formula>
    </cfRule>
    <cfRule type="expression" dxfId="286" priority="36" stopIfTrue="1">
      <formula>IF(C$84&lt;&gt;$C$104,1,0)</formula>
    </cfRule>
    <cfRule type="expression" dxfId="285" priority="37" stopIfTrue="1">
      <formula>IF(C$84=$C$104,1,0)</formula>
    </cfRule>
  </conditionalFormatting>
  <conditionalFormatting sqref="C85:AG85">
    <cfRule type="expression" dxfId="284" priority="13" stopIfTrue="1">
      <formula>IF($B$85="",1,0)</formula>
    </cfRule>
    <cfRule type="expression" dxfId="283" priority="38">
      <formula>IF(C$85=$C$105,1,0)</formula>
    </cfRule>
    <cfRule type="expression" dxfId="282" priority="39">
      <formula>IF(C$85&lt;&gt;$C$105,1,0)</formula>
    </cfRule>
  </conditionalFormatting>
  <conditionalFormatting sqref="C86:AG86">
    <cfRule type="expression" dxfId="281" priority="14" stopIfTrue="1">
      <formula>IF($B$86="",1,0)</formula>
    </cfRule>
    <cfRule type="expression" dxfId="280" priority="40" stopIfTrue="1">
      <formula>IF(C$86&lt;&gt;$C$106,1,0)</formula>
    </cfRule>
    <cfRule type="expression" dxfId="279" priority="41" stopIfTrue="1">
      <formula>IF(C$86=$C$106,1,0)</formula>
    </cfRule>
  </conditionalFormatting>
  <conditionalFormatting sqref="C79:AG79">
    <cfRule type="expression" dxfId="278" priority="7">
      <formula>IF($B$79="",1,0)</formula>
    </cfRule>
    <cfRule type="expression" dxfId="277" priority="42">
      <formula>IF(C$79=$C$99,1,0)</formula>
    </cfRule>
    <cfRule type="expression" dxfId="276" priority="43">
      <formula>IF(C$79&lt;&gt;$C$99,1,0)</formula>
    </cfRule>
  </conditionalFormatting>
  <conditionalFormatting sqref="C81:AG81">
    <cfRule type="expression" dxfId="275" priority="9">
      <formula>IF($B$81="",1,0)</formula>
    </cfRule>
    <cfRule type="expression" dxfId="274" priority="44">
      <formula>IF(C$81=$C$101,1,0)</formula>
    </cfRule>
    <cfRule type="expression" dxfId="273" priority="45">
      <formula>IF(C$81&lt;&gt;$C$101,1,0)</formula>
    </cfRule>
  </conditionalFormatting>
  <conditionalFormatting sqref="C80:AG80">
    <cfRule type="expression" dxfId="272" priority="8">
      <formula>IF($B$80="",1,0)</formula>
    </cfRule>
    <cfRule type="expression" dxfId="271" priority="46">
      <formula>IF(C$80&lt;&gt;$C$100,1,0)</formula>
    </cfRule>
    <cfRule type="expression" dxfId="270" priority="47">
      <formula>IF(C$80=$C$100,1,0)</formula>
    </cfRule>
  </conditionalFormatting>
  <conditionalFormatting sqref="C82:AG82">
    <cfRule type="expression" dxfId="269" priority="10">
      <formula>IF($B$82="",1,0)</formula>
    </cfRule>
    <cfRule type="expression" dxfId="268" priority="48">
      <formula>IF(C$82&lt;&gt;$C$102,1,0)</formula>
    </cfRule>
    <cfRule type="expression" dxfId="267" priority="49">
      <formula>IF(C$82=$C$102,1,0)</formula>
    </cfRule>
  </conditionalFormatting>
  <conditionalFormatting sqref="C83:AG83">
    <cfRule type="expression" dxfId="266" priority="11" stopIfTrue="1">
      <formula>IF($B$83="",1,0)</formula>
    </cfRule>
    <cfRule type="expression" dxfId="265" priority="50" stopIfTrue="1">
      <formula>IF(C$83=$C$103,1,0)</formula>
    </cfRule>
    <cfRule type="expression" dxfId="264" priority="51" stopIfTrue="1">
      <formula>IF(C$83&lt;&gt;$C$103,1,0)</formula>
    </cfRule>
  </conditionalFormatting>
  <conditionalFormatting sqref="C88:AG88">
    <cfRule type="expression" dxfId="263" priority="16" stopIfTrue="1">
      <formula>IF($B$88="",1,0)</formula>
    </cfRule>
    <cfRule type="expression" dxfId="262" priority="19" stopIfTrue="1">
      <formula>IF(C$88&lt;&gt;$C$108,1,0)</formula>
    </cfRule>
    <cfRule type="expression" dxfId="261" priority="20" stopIfTrue="1">
      <formula>IF(C$88=$C$108,1,0)</formula>
    </cfRule>
  </conditionalFormatting>
  <conditionalFormatting sqref="C87:AG87">
    <cfRule type="expression" dxfId="260" priority="15" stopIfTrue="1">
      <formula>IF($B$87="",1,0)</formula>
    </cfRule>
    <cfRule type="expression" dxfId="259" priority="17" stopIfTrue="1">
      <formula>IF(C$87&lt;&gt;$C$107,1,0)</formula>
    </cfRule>
    <cfRule type="expression" dxfId="258" priority="18" stopIfTrue="1">
      <formula>IF(C$87=$C$107,1,0)</formula>
    </cfRule>
  </conditionalFormatting>
  <conditionalFormatting sqref="C5:AG5">
    <cfRule type="expression" dxfId="257" priority="3">
      <formula>C5="SZ"</formula>
    </cfRule>
  </conditionalFormatting>
  <conditionalFormatting sqref="B5">
    <cfRule type="expression" dxfId="256" priority="1">
      <formula>B$50="WS"</formula>
    </cfRule>
    <cfRule type="expression" dxfId="255" priority="2">
      <formula>B$50="SZ"</formula>
    </cfRule>
  </conditionalFormatting>
  <dataValidations count="1">
    <dataValidation type="list" allowBlank="1" showInputMessage="1" showErrorMessage="1" sqref="B10:B49" xr:uid="{A70B77F3-7B7E-4F5E-BEA1-CE881B303CCA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FEAA6-4460-4BD1-A286-73E44F01898D}">
  <sheetPr codeName="Dienstplan8">
    <tabColor theme="4"/>
    <pageSetUpPr fitToPage="1"/>
  </sheetPr>
  <dimension ref="A1:BB113"/>
  <sheetViews>
    <sheetView showGridLines="0" zoomScale="70" zoomScaleNormal="70" workbookViewId="0">
      <selection activeCell="C96" sqref="C96:H96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August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1.8.2025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45870</v>
      </c>
      <c r="D6" s="54">
        <f t="shared" ref="D6:AG6" si="0">IF(MONTH(DATE(YEAR($L$3),MONTH($L$3),COLUMN()-COLUMN($B6)))&gt;MONTH($L$3),"",DATE(YEAR($L$3),MONTH($L$3),COLUMN()-COLUMN($B6)))</f>
        <v>45871</v>
      </c>
      <c r="E6" s="54">
        <f t="shared" si="0"/>
        <v>45872</v>
      </c>
      <c r="F6" s="54">
        <f t="shared" si="0"/>
        <v>45873</v>
      </c>
      <c r="G6" s="54">
        <f t="shared" si="0"/>
        <v>45874</v>
      </c>
      <c r="H6" s="54">
        <f t="shared" si="0"/>
        <v>45875</v>
      </c>
      <c r="I6" s="54">
        <f t="shared" si="0"/>
        <v>45876</v>
      </c>
      <c r="J6" s="54">
        <f t="shared" si="0"/>
        <v>45877</v>
      </c>
      <c r="K6" s="54">
        <f t="shared" si="0"/>
        <v>45878</v>
      </c>
      <c r="L6" s="54">
        <f t="shared" si="0"/>
        <v>45879</v>
      </c>
      <c r="M6" s="54">
        <f t="shared" si="0"/>
        <v>45880</v>
      </c>
      <c r="N6" s="54">
        <f t="shared" si="0"/>
        <v>45881</v>
      </c>
      <c r="O6" s="54">
        <f t="shared" si="0"/>
        <v>45882</v>
      </c>
      <c r="P6" s="54">
        <f t="shared" si="0"/>
        <v>45883</v>
      </c>
      <c r="Q6" s="54">
        <f t="shared" si="0"/>
        <v>45884</v>
      </c>
      <c r="R6" s="54">
        <f t="shared" si="0"/>
        <v>45885</v>
      </c>
      <c r="S6" s="54">
        <f t="shared" si="0"/>
        <v>45886</v>
      </c>
      <c r="T6" s="54">
        <f t="shared" si="0"/>
        <v>45887</v>
      </c>
      <c r="U6" s="54">
        <f t="shared" si="0"/>
        <v>45888</v>
      </c>
      <c r="V6" s="54">
        <f t="shared" si="0"/>
        <v>45889</v>
      </c>
      <c r="W6" s="54">
        <f t="shared" si="0"/>
        <v>45890</v>
      </c>
      <c r="X6" s="54">
        <f t="shared" si="0"/>
        <v>45891</v>
      </c>
      <c r="Y6" s="54">
        <f t="shared" si="0"/>
        <v>45892</v>
      </c>
      <c r="Z6" s="54">
        <f t="shared" si="0"/>
        <v>45893</v>
      </c>
      <c r="AA6" s="54">
        <f t="shared" si="0"/>
        <v>45894</v>
      </c>
      <c r="AB6" s="54">
        <f t="shared" si="0"/>
        <v>45895</v>
      </c>
      <c r="AC6" s="54">
        <f t="shared" si="0"/>
        <v>45896</v>
      </c>
      <c r="AD6" s="54">
        <f t="shared" si="0"/>
        <v>45897</v>
      </c>
      <c r="AE6" s="54">
        <f t="shared" si="0"/>
        <v>45898</v>
      </c>
      <c r="AF6" s="54">
        <f t="shared" si="0"/>
        <v>45899</v>
      </c>
      <c r="AG6" s="55">
        <f t="shared" si="0"/>
        <v>45900</v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45870</v>
      </c>
      <c r="D7" s="57">
        <f t="shared" ref="D7:AG7" si="1">IF(MONTH(DATE(YEAR($L$3),MONTH($L$3),COLUMN()-COLUMN($B6)))&gt;MONTH($L$3),"",DATE(YEAR($L$3),MONTH($L$3),COLUMN()-COLUMN($B6)))</f>
        <v>45871</v>
      </c>
      <c r="E7" s="57">
        <f t="shared" si="1"/>
        <v>45872</v>
      </c>
      <c r="F7" s="57">
        <f t="shared" si="1"/>
        <v>45873</v>
      </c>
      <c r="G7" s="57">
        <f t="shared" si="1"/>
        <v>45874</v>
      </c>
      <c r="H7" s="57">
        <f t="shared" si="1"/>
        <v>45875</v>
      </c>
      <c r="I7" s="57">
        <f t="shared" si="1"/>
        <v>45876</v>
      </c>
      <c r="J7" s="57">
        <f t="shared" si="1"/>
        <v>45877</v>
      </c>
      <c r="K7" s="57">
        <f t="shared" si="1"/>
        <v>45878</v>
      </c>
      <c r="L7" s="57">
        <f t="shared" si="1"/>
        <v>45879</v>
      </c>
      <c r="M7" s="57">
        <f t="shared" si="1"/>
        <v>45880</v>
      </c>
      <c r="N7" s="57">
        <f t="shared" si="1"/>
        <v>45881</v>
      </c>
      <c r="O7" s="57">
        <f t="shared" si="1"/>
        <v>45882</v>
      </c>
      <c r="P7" s="57">
        <f t="shared" si="1"/>
        <v>45883</v>
      </c>
      <c r="Q7" s="57">
        <f t="shared" si="1"/>
        <v>45884</v>
      </c>
      <c r="R7" s="57">
        <f t="shared" si="1"/>
        <v>45885</v>
      </c>
      <c r="S7" s="57">
        <f t="shared" si="1"/>
        <v>45886</v>
      </c>
      <c r="T7" s="57">
        <f t="shared" si="1"/>
        <v>45887</v>
      </c>
      <c r="U7" s="57">
        <f t="shared" si="1"/>
        <v>45888</v>
      </c>
      <c r="V7" s="57">
        <f t="shared" si="1"/>
        <v>45889</v>
      </c>
      <c r="W7" s="57">
        <f t="shared" si="1"/>
        <v>45890</v>
      </c>
      <c r="X7" s="57">
        <f t="shared" si="1"/>
        <v>45891</v>
      </c>
      <c r="Y7" s="57">
        <f t="shared" si="1"/>
        <v>45892</v>
      </c>
      <c r="Z7" s="57">
        <f t="shared" si="1"/>
        <v>45893</v>
      </c>
      <c r="AA7" s="57">
        <f t="shared" si="1"/>
        <v>45894</v>
      </c>
      <c r="AB7" s="57">
        <f t="shared" si="1"/>
        <v>45895</v>
      </c>
      <c r="AC7" s="57">
        <f t="shared" si="1"/>
        <v>45896</v>
      </c>
      <c r="AD7" s="57">
        <f t="shared" si="1"/>
        <v>45897</v>
      </c>
      <c r="AE7" s="57">
        <f t="shared" si="1"/>
        <v>45898</v>
      </c>
      <c r="AF7" s="57">
        <f t="shared" si="1"/>
        <v>45899</v>
      </c>
      <c r="AG7" s="58">
        <f t="shared" si="1"/>
        <v>45900</v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5</v>
      </c>
      <c r="D8" s="45">
        <f>IFERROR(WEEKDAY(D6,2), 0)</f>
        <v>6</v>
      </c>
      <c r="E8" s="45">
        <f t="shared" ref="E8:AG8" si="2">IFERROR(WEEKDAY(E6,2), 0)</f>
        <v>7</v>
      </c>
      <c r="F8" s="45">
        <f t="shared" si="2"/>
        <v>1</v>
      </c>
      <c r="G8" s="45">
        <f t="shared" si="2"/>
        <v>2</v>
      </c>
      <c r="H8" s="45">
        <f t="shared" si="2"/>
        <v>3</v>
      </c>
      <c r="I8" s="45">
        <f t="shared" si="2"/>
        <v>4</v>
      </c>
      <c r="J8" s="45">
        <f t="shared" si="2"/>
        <v>5</v>
      </c>
      <c r="K8" s="45">
        <f t="shared" si="2"/>
        <v>6</v>
      </c>
      <c r="L8" s="45">
        <f t="shared" si="2"/>
        <v>7</v>
      </c>
      <c r="M8" s="45">
        <f t="shared" si="2"/>
        <v>1</v>
      </c>
      <c r="N8" s="45">
        <f t="shared" si="2"/>
        <v>2</v>
      </c>
      <c r="O8" s="45">
        <f t="shared" si="2"/>
        <v>3</v>
      </c>
      <c r="P8" s="45">
        <f t="shared" si="2"/>
        <v>4</v>
      </c>
      <c r="Q8" s="45">
        <f t="shared" si="2"/>
        <v>5</v>
      </c>
      <c r="R8" s="45">
        <f t="shared" si="2"/>
        <v>6</v>
      </c>
      <c r="S8" s="45">
        <f t="shared" si="2"/>
        <v>7</v>
      </c>
      <c r="T8" s="45">
        <f t="shared" si="2"/>
        <v>1</v>
      </c>
      <c r="U8" s="45">
        <f t="shared" si="2"/>
        <v>2</v>
      </c>
      <c r="V8" s="45">
        <f t="shared" si="2"/>
        <v>3</v>
      </c>
      <c r="W8" s="45">
        <f t="shared" si="2"/>
        <v>4</v>
      </c>
      <c r="X8" s="45">
        <f t="shared" si="2"/>
        <v>5</v>
      </c>
      <c r="Y8" s="45">
        <f t="shared" si="2"/>
        <v>6</v>
      </c>
      <c r="Z8" s="45">
        <f t="shared" si="2"/>
        <v>7</v>
      </c>
      <c r="AA8" s="45">
        <f t="shared" si="2"/>
        <v>1</v>
      </c>
      <c r="AB8" s="45">
        <f t="shared" si="2"/>
        <v>2</v>
      </c>
      <c r="AC8" s="45">
        <f t="shared" si="2"/>
        <v>3</v>
      </c>
      <c r="AD8" s="45">
        <f t="shared" si="2"/>
        <v>4</v>
      </c>
      <c r="AE8" s="45">
        <f t="shared" si="2"/>
        <v>5</v>
      </c>
      <c r="AF8" s="45">
        <f t="shared" si="2"/>
        <v>6</v>
      </c>
      <c r="AG8" s="48">
        <f t="shared" si="2"/>
        <v>7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/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>FT</v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/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45870</v>
      </c>
      <c r="D78" s="95">
        <f t="shared" ref="D78:AG78" si="10">D7</f>
        <v>45871</v>
      </c>
      <c r="E78" s="95">
        <f t="shared" si="10"/>
        <v>45872</v>
      </c>
      <c r="F78" s="95">
        <f t="shared" si="10"/>
        <v>45873</v>
      </c>
      <c r="G78" s="95">
        <f t="shared" si="10"/>
        <v>45874</v>
      </c>
      <c r="H78" s="95">
        <f t="shared" si="10"/>
        <v>45875</v>
      </c>
      <c r="I78" s="95">
        <f t="shared" si="10"/>
        <v>45876</v>
      </c>
      <c r="J78" s="95">
        <f t="shared" si="10"/>
        <v>45877</v>
      </c>
      <c r="K78" s="95">
        <f t="shared" si="10"/>
        <v>45878</v>
      </c>
      <c r="L78" s="95">
        <f t="shared" si="10"/>
        <v>45879</v>
      </c>
      <c r="M78" s="95">
        <f t="shared" si="10"/>
        <v>45880</v>
      </c>
      <c r="N78" s="95">
        <f t="shared" si="10"/>
        <v>45881</v>
      </c>
      <c r="O78" s="95">
        <f t="shared" si="10"/>
        <v>45882</v>
      </c>
      <c r="P78" s="95">
        <f t="shared" si="10"/>
        <v>45883</v>
      </c>
      <c r="Q78" s="95">
        <f t="shared" si="10"/>
        <v>45884</v>
      </c>
      <c r="R78" s="95">
        <f t="shared" si="10"/>
        <v>45885</v>
      </c>
      <c r="S78" s="95">
        <f t="shared" si="10"/>
        <v>45886</v>
      </c>
      <c r="T78" s="95">
        <f t="shared" si="10"/>
        <v>45887</v>
      </c>
      <c r="U78" s="95">
        <f t="shared" si="10"/>
        <v>45888</v>
      </c>
      <c r="V78" s="95">
        <f t="shared" si="10"/>
        <v>45889</v>
      </c>
      <c r="W78" s="95">
        <f t="shared" si="10"/>
        <v>45890</v>
      </c>
      <c r="X78" s="95">
        <f t="shared" si="10"/>
        <v>45891</v>
      </c>
      <c r="Y78" s="95">
        <f t="shared" si="10"/>
        <v>45892</v>
      </c>
      <c r="Z78" s="95">
        <f t="shared" si="10"/>
        <v>45893</v>
      </c>
      <c r="AA78" s="95">
        <f t="shared" si="10"/>
        <v>45894</v>
      </c>
      <c r="AB78" s="95">
        <f t="shared" si="10"/>
        <v>45895</v>
      </c>
      <c r="AC78" s="95">
        <f t="shared" si="10"/>
        <v>45896</v>
      </c>
      <c r="AD78" s="95">
        <f t="shared" si="10"/>
        <v>45897</v>
      </c>
      <c r="AE78" s="95">
        <f t="shared" si="10"/>
        <v>45898</v>
      </c>
      <c r="AF78" s="95">
        <f t="shared" si="10"/>
        <v>45899</v>
      </c>
      <c r="AG78" s="95">
        <f t="shared" si="10"/>
        <v>45900</v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8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algorithmName="SHA-512" hashValue="AbN4gdrSkxELp5pqurMLaIAuLeTeF36nX0+gqUA8eODHLe4AGhXHuzd2EqCE4e79G8osxMEs1QCNYV7e6sPlrA==" saltValue="rIFSzKM5+4PsXJthbqCPDA==" spinCount="100000" sheet="1" objects="1" scenarios="1"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254" priority="35" stopIfTrue="1" operator="equal">
      <formula>0</formula>
    </cfRule>
  </conditionalFormatting>
  <conditionalFormatting sqref="C6:AG9">
    <cfRule type="expression" dxfId="253" priority="33">
      <formula>C$9="FT"</formula>
    </cfRule>
    <cfRule type="expression" dxfId="252" priority="34">
      <formula>C$8&gt;5</formula>
    </cfRule>
  </conditionalFormatting>
  <conditionalFormatting sqref="B50">
    <cfRule type="expression" dxfId="251" priority="31">
      <formula>B$50="WS"</formula>
    </cfRule>
    <cfRule type="expression" dxfId="250" priority="32">
      <formula>B$50="SZ"</formula>
    </cfRule>
  </conditionalFormatting>
  <conditionalFormatting sqref="C10:AG49">
    <cfRule type="expression" dxfId="249" priority="4" stopIfTrue="1">
      <formula>C10="U"</formula>
    </cfRule>
    <cfRule type="expression" dxfId="248" priority="5">
      <formula>C10="K"</formula>
    </cfRule>
    <cfRule type="expression" dxfId="247" priority="6">
      <formula>C10="AWP"</formula>
    </cfRule>
    <cfRule type="expression" dxfId="246" priority="21" stopIfTrue="1">
      <formula>C10="TES"</formula>
    </cfRule>
    <cfRule type="expression" dxfId="245" priority="27" stopIfTrue="1">
      <formula>C10="S"</formula>
    </cfRule>
    <cfRule type="expression" dxfId="244" priority="28">
      <formula>C$9="FT"</formula>
    </cfRule>
    <cfRule type="expression" dxfId="243" priority="29">
      <formula>C$8&gt;5</formula>
    </cfRule>
    <cfRule type="expression" dxfId="242" priority="30" stopIfTrue="1">
      <formula>OR(C10="X",C10="FS")</formula>
    </cfRule>
  </conditionalFormatting>
  <conditionalFormatting sqref="C50:AG50">
    <cfRule type="expression" dxfId="241" priority="22" stopIfTrue="1">
      <formula>C$50="S"</formula>
    </cfRule>
  </conditionalFormatting>
  <conditionalFormatting sqref="AI10:AI49">
    <cfRule type="cellIs" dxfId="240" priority="25" stopIfTrue="1" operator="equal">
      <formula>0</formula>
    </cfRule>
    <cfRule type="cellIs" dxfId="239" priority="26" operator="greaterThan">
      <formula>0</formula>
    </cfRule>
  </conditionalFormatting>
  <conditionalFormatting sqref="AH10:AH49">
    <cfRule type="cellIs" dxfId="238" priority="24" operator="equal">
      <formula>0</formula>
    </cfRule>
  </conditionalFormatting>
  <conditionalFormatting sqref="AJ10:AJ49">
    <cfRule type="cellIs" dxfId="237" priority="23" operator="equal">
      <formula>0</formula>
    </cfRule>
  </conditionalFormatting>
  <conditionalFormatting sqref="C84:AG84">
    <cfRule type="expression" dxfId="236" priority="12" stopIfTrue="1">
      <formula>IF($B$84="",1,0)</formula>
    </cfRule>
    <cfRule type="expression" dxfId="235" priority="36" stopIfTrue="1">
      <formula>IF(C$84&lt;&gt;$C$104,1,0)</formula>
    </cfRule>
    <cfRule type="expression" dxfId="234" priority="37" stopIfTrue="1">
      <formula>IF(C$84=$C$104,1,0)</formula>
    </cfRule>
  </conditionalFormatting>
  <conditionalFormatting sqref="C85:AG85">
    <cfRule type="expression" dxfId="233" priority="13" stopIfTrue="1">
      <formula>IF($B$85="",1,0)</formula>
    </cfRule>
    <cfRule type="expression" dxfId="232" priority="38">
      <formula>IF(C$85=$C$105,1,0)</formula>
    </cfRule>
    <cfRule type="expression" dxfId="231" priority="39">
      <formula>IF(C$85&lt;&gt;$C$105,1,0)</formula>
    </cfRule>
  </conditionalFormatting>
  <conditionalFormatting sqref="C86:AG86">
    <cfRule type="expression" dxfId="230" priority="14" stopIfTrue="1">
      <formula>IF($B$86="",1,0)</formula>
    </cfRule>
    <cfRule type="expression" dxfId="229" priority="40" stopIfTrue="1">
      <formula>IF(C$86&lt;&gt;$C$106,1,0)</formula>
    </cfRule>
    <cfRule type="expression" dxfId="228" priority="41" stopIfTrue="1">
      <formula>IF(C$86=$C$106,1,0)</formula>
    </cfRule>
  </conditionalFormatting>
  <conditionalFormatting sqref="C79:AG79">
    <cfRule type="expression" dxfId="227" priority="7">
      <formula>IF($B$79="",1,0)</formula>
    </cfRule>
    <cfRule type="expression" dxfId="226" priority="42">
      <formula>IF(C$79=$C$99,1,0)</formula>
    </cfRule>
    <cfRule type="expression" dxfId="225" priority="43">
      <formula>IF(C$79&lt;&gt;$C$99,1,0)</formula>
    </cfRule>
  </conditionalFormatting>
  <conditionalFormatting sqref="C81:AG81">
    <cfRule type="expression" dxfId="224" priority="9">
      <formula>IF($B$81="",1,0)</formula>
    </cfRule>
    <cfRule type="expression" dxfId="223" priority="44">
      <formula>IF(C$81=$C$101,1,0)</formula>
    </cfRule>
    <cfRule type="expression" dxfId="222" priority="45">
      <formula>IF(C$81&lt;&gt;$C$101,1,0)</formula>
    </cfRule>
  </conditionalFormatting>
  <conditionalFormatting sqref="C80:AG80">
    <cfRule type="expression" dxfId="221" priority="8">
      <formula>IF($B$80="",1,0)</formula>
    </cfRule>
    <cfRule type="expression" dxfId="220" priority="46">
      <formula>IF(C$80&lt;&gt;$C$100,1,0)</formula>
    </cfRule>
    <cfRule type="expression" dxfId="219" priority="47">
      <formula>IF(C$80=$C$100,1,0)</formula>
    </cfRule>
  </conditionalFormatting>
  <conditionalFormatting sqref="C82:AG82">
    <cfRule type="expression" dxfId="218" priority="10">
      <formula>IF($B$82="",1,0)</formula>
    </cfRule>
    <cfRule type="expression" dxfId="217" priority="48">
      <formula>IF(C$82&lt;&gt;$C$102,1,0)</formula>
    </cfRule>
    <cfRule type="expression" dxfId="216" priority="49">
      <formula>IF(C$82=$C$102,1,0)</formula>
    </cfRule>
  </conditionalFormatting>
  <conditionalFormatting sqref="C83:AG83">
    <cfRule type="expression" dxfId="215" priority="11" stopIfTrue="1">
      <formula>IF($B$83="",1,0)</formula>
    </cfRule>
    <cfRule type="expression" dxfId="214" priority="50" stopIfTrue="1">
      <formula>IF(C$83=$C$103,1,0)</formula>
    </cfRule>
    <cfRule type="expression" dxfId="213" priority="51" stopIfTrue="1">
      <formula>IF(C$83&lt;&gt;$C$103,1,0)</formula>
    </cfRule>
  </conditionalFormatting>
  <conditionalFormatting sqref="C88:AG88">
    <cfRule type="expression" dxfId="212" priority="16" stopIfTrue="1">
      <formula>IF($B$88="",1,0)</formula>
    </cfRule>
    <cfRule type="expression" dxfId="211" priority="19" stopIfTrue="1">
      <formula>IF(C$88&lt;&gt;$C$108,1,0)</formula>
    </cfRule>
    <cfRule type="expression" dxfId="210" priority="20" stopIfTrue="1">
      <formula>IF(C$88=$C$108,1,0)</formula>
    </cfRule>
  </conditionalFormatting>
  <conditionalFormatting sqref="C87:AG87">
    <cfRule type="expression" dxfId="209" priority="15" stopIfTrue="1">
      <formula>IF($B$87="",1,0)</formula>
    </cfRule>
    <cfRule type="expression" dxfId="208" priority="17" stopIfTrue="1">
      <formula>IF(C$87&lt;&gt;$C$107,1,0)</formula>
    </cfRule>
    <cfRule type="expression" dxfId="207" priority="18" stopIfTrue="1">
      <formula>IF(C$87=$C$107,1,0)</formula>
    </cfRule>
  </conditionalFormatting>
  <conditionalFormatting sqref="C5:AG5">
    <cfRule type="expression" dxfId="206" priority="3">
      <formula>C5="SZ"</formula>
    </cfRule>
  </conditionalFormatting>
  <conditionalFormatting sqref="B5">
    <cfRule type="expression" dxfId="205" priority="1">
      <formula>B$50="WS"</formula>
    </cfRule>
    <cfRule type="expression" dxfId="204" priority="2">
      <formula>B$50="SZ"</formula>
    </cfRule>
  </conditionalFormatting>
  <dataValidations count="1">
    <dataValidation type="list" allowBlank="1" showInputMessage="1" showErrorMessage="1" sqref="B10:B49" xr:uid="{0838FC47-45F7-4262-B064-0EF15015994D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8EF1E-5578-4B7C-8CDB-5DDA236918A4}">
  <sheetPr codeName="Dienstplan9">
    <tabColor theme="4"/>
    <pageSetUpPr fitToPage="1"/>
  </sheetPr>
  <dimension ref="A1:BB113"/>
  <sheetViews>
    <sheetView showGridLines="0" zoomScale="70" zoomScaleNormal="70" workbookViewId="0">
      <selection activeCell="C95" sqref="C95:H95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September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1.9.2025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45901</v>
      </c>
      <c r="D6" s="54">
        <f t="shared" ref="D6:AG6" si="0">IF(MONTH(DATE(YEAR($L$3),MONTH($L$3),COLUMN()-COLUMN($B6)))&gt;MONTH($L$3),"",DATE(YEAR($L$3),MONTH($L$3),COLUMN()-COLUMN($B6)))</f>
        <v>45902</v>
      </c>
      <c r="E6" s="54">
        <f t="shared" si="0"/>
        <v>45903</v>
      </c>
      <c r="F6" s="54">
        <f t="shared" si="0"/>
        <v>45904</v>
      </c>
      <c r="G6" s="54">
        <f t="shared" si="0"/>
        <v>45905</v>
      </c>
      <c r="H6" s="54">
        <f t="shared" si="0"/>
        <v>45906</v>
      </c>
      <c r="I6" s="54">
        <f t="shared" si="0"/>
        <v>45907</v>
      </c>
      <c r="J6" s="54">
        <f t="shared" si="0"/>
        <v>45908</v>
      </c>
      <c r="K6" s="54">
        <f t="shared" si="0"/>
        <v>45909</v>
      </c>
      <c r="L6" s="54">
        <f t="shared" si="0"/>
        <v>45910</v>
      </c>
      <c r="M6" s="54">
        <f t="shared" si="0"/>
        <v>45911</v>
      </c>
      <c r="N6" s="54">
        <f t="shared" si="0"/>
        <v>45912</v>
      </c>
      <c r="O6" s="54">
        <f t="shared" si="0"/>
        <v>45913</v>
      </c>
      <c r="P6" s="54">
        <f t="shared" si="0"/>
        <v>45914</v>
      </c>
      <c r="Q6" s="54">
        <f t="shared" si="0"/>
        <v>45915</v>
      </c>
      <c r="R6" s="54">
        <f t="shared" si="0"/>
        <v>45916</v>
      </c>
      <c r="S6" s="54">
        <f t="shared" si="0"/>
        <v>45917</v>
      </c>
      <c r="T6" s="54">
        <f t="shared" si="0"/>
        <v>45918</v>
      </c>
      <c r="U6" s="54">
        <f t="shared" si="0"/>
        <v>45919</v>
      </c>
      <c r="V6" s="54">
        <f t="shared" si="0"/>
        <v>45920</v>
      </c>
      <c r="W6" s="54">
        <f t="shared" si="0"/>
        <v>45921</v>
      </c>
      <c r="X6" s="54">
        <f t="shared" si="0"/>
        <v>45922</v>
      </c>
      <c r="Y6" s="54">
        <f t="shared" si="0"/>
        <v>45923</v>
      </c>
      <c r="Z6" s="54">
        <f t="shared" si="0"/>
        <v>45924</v>
      </c>
      <c r="AA6" s="54">
        <f t="shared" si="0"/>
        <v>45925</v>
      </c>
      <c r="AB6" s="54">
        <f t="shared" si="0"/>
        <v>45926</v>
      </c>
      <c r="AC6" s="54">
        <f t="shared" si="0"/>
        <v>45927</v>
      </c>
      <c r="AD6" s="54">
        <f t="shared" si="0"/>
        <v>45928</v>
      </c>
      <c r="AE6" s="54">
        <f t="shared" si="0"/>
        <v>45929</v>
      </c>
      <c r="AF6" s="54">
        <f t="shared" si="0"/>
        <v>45930</v>
      </c>
      <c r="AG6" s="55" t="str">
        <f t="shared" si="0"/>
        <v/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45901</v>
      </c>
      <c r="D7" s="57">
        <f t="shared" ref="D7:AG7" si="1">IF(MONTH(DATE(YEAR($L$3),MONTH($L$3),COLUMN()-COLUMN($B6)))&gt;MONTH($L$3),"",DATE(YEAR($L$3),MONTH($L$3),COLUMN()-COLUMN($B6)))</f>
        <v>45902</v>
      </c>
      <c r="E7" s="57">
        <f t="shared" si="1"/>
        <v>45903</v>
      </c>
      <c r="F7" s="57">
        <f t="shared" si="1"/>
        <v>45904</v>
      </c>
      <c r="G7" s="57">
        <f t="shared" si="1"/>
        <v>45905</v>
      </c>
      <c r="H7" s="57">
        <f t="shared" si="1"/>
        <v>45906</v>
      </c>
      <c r="I7" s="57">
        <f t="shared" si="1"/>
        <v>45907</v>
      </c>
      <c r="J7" s="57">
        <f t="shared" si="1"/>
        <v>45908</v>
      </c>
      <c r="K7" s="57">
        <f t="shared" si="1"/>
        <v>45909</v>
      </c>
      <c r="L7" s="57">
        <f t="shared" si="1"/>
        <v>45910</v>
      </c>
      <c r="M7" s="57">
        <f t="shared" si="1"/>
        <v>45911</v>
      </c>
      <c r="N7" s="57">
        <f t="shared" si="1"/>
        <v>45912</v>
      </c>
      <c r="O7" s="57">
        <f t="shared" si="1"/>
        <v>45913</v>
      </c>
      <c r="P7" s="57">
        <f t="shared" si="1"/>
        <v>45914</v>
      </c>
      <c r="Q7" s="57">
        <f t="shared" si="1"/>
        <v>45915</v>
      </c>
      <c r="R7" s="57">
        <f t="shared" si="1"/>
        <v>45916</v>
      </c>
      <c r="S7" s="57">
        <f t="shared" si="1"/>
        <v>45917</v>
      </c>
      <c r="T7" s="57">
        <f t="shared" si="1"/>
        <v>45918</v>
      </c>
      <c r="U7" s="57">
        <f t="shared" si="1"/>
        <v>45919</v>
      </c>
      <c r="V7" s="57">
        <f t="shared" si="1"/>
        <v>45920</v>
      </c>
      <c r="W7" s="57">
        <f t="shared" si="1"/>
        <v>45921</v>
      </c>
      <c r="X7" s="57">
        <f t="shared" si="1"/>
        <v>45922</v>
      </c>
      <c r="Y7" s="57">
        <f t="shared" si="1"/>
        <v>45923</v>
      </c>
      <c r="Z7" s="57">
        <f t="shared" si="1"/>
        <v>45924</v>
      </c>
      <c r="AA7" s="57">
        <f t="shared" si="1"/>
        <v>45925</v>
      </c>
      <c r="AB7" s="57">
        <f t="shared" si="1"/>
        <v>45926</v>
      </c>
      <c r="AC7" s="57">
        <f t="shared" si="1"/>
        <v>45927</v>
      </c>
      <c r="AD7" s="57">
        <f t="shared" si="1"/>
        <v>45928</v>
      </c>
      <c r="AE7" s="57">
        <f t="shared" si="1"/>
        <v>45929</v>
      </c>
      <c r="AF7" s="57">
        <f t="shared" si="1"/>
        <v>45930</v>
      </c>
      <c r="AG7" s="58" t="str">
        <f t="shared" si="1"/>
        <v/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1</v>
      </c>
      <c r="D8" s="45">
        <f>IFERROR(WEEKDAY(D6,2), 0)</f>
        <v>2</v>
      </c>
      <c r="E8" s="45">
        <f t="shared" ref="E8:AG8" si="2">IFERROR(WEEKDAY(E6,2), 0)</f>
        <v>3</v>
      </c>
      <c r="F8" s="45">
        <f t="shared" si="2"/>
        <v>4</v>
      </c>
      <c r="G8" s="45">
        <f t="shared" si="2"/>
        <v>5</v>
      </c>
      <c r="H8" s="45">
        <f t="shared" si="2"/>
        <v>6</v>
      </c>
      <c r="I8" s="45">
        <f t="shared" si="2"/>
        <v>7</v>
      </c>
      <c r="J8" s="45">
        <f t="shared" si="2"/>
        <v>1</v>
      </c>
      <c r="K8" s="45">
        <f t="shared" si="2"/>
        <v>2</v>
      </c>
      <c r="L8" s="45">
        <f t="shared" si="2"/>
        <v>3</v>
      </c>
      <c r="M8" s="45">
        <f t="shared" si="2"/>
        <v>4</v>
      </c>
      <c r="N8" s="45">
        <f t="shared" si="2"/>
        <v>5</v>
      </c>
      <c r="O8" s="45">
        <f t="shared" si="2"/>
        <v>6</v>
      </c>
      <c r="P8" s="45">
        <f t="shared" si="2"/>
        <v>7</v>
      </c>
      <c r="Q8" s="45">
        <f t="shared" si="2"/>
        <v>1</v>
      </c>
      <c r="R8" s="45">
        <f t="shared" si="2"/>
        <v>2</v>
      </c>
      <c r="S8" s="45">
        <f t="shared" si="2"/>
        <v>3</v>
      </c>
      <c r="T8" s="45">
        <f t="shared" si="2"/>
        <v>4</v>
      </c>
      <c r="U8" s="45">
        <f t="shared" si="2"/>
        <v>5</v>
      </c>
      <c r="V8" s="45">
        <f t="shared" si="2"/>
        <v>6</v>
      </c>
      <c r="W8" s="45">
        <f t="shared" si="2"/>
        <v>7</v>
      </c>
      <c r="X8" s="45">
        <f t="shared" si="2"/>
        <v>1</v>
      </c>
      <c r="Y8" s="45">
        <f t="shared" si="2"/>
        <v>2</v>
      </c>
      <c r="Z8" s="45">
        <f t="shared" si="2"/>
        <v>3</v>
      </c>
      <c r="AA8" s="45">
        <f t="shared" si="2"/>
        <v>4</v>
      </c>
      <c r="AB8" s="45">
        <f t="shared" si="2"/>
        <v>5</v>
      </c>
      <c r="AC8" s="45">
        <f t="shared" si="2"/>
        <v>6</v>
      </c>
      <c r="AD8" s="45">
        <f t="shared" si="2"/>
        <v>7</v>
      </c>
      <c r="AE8" s="45">
        <f t="shared" si="2"/>
        <v>1</v>
      </c>
      <c r="AF8" s="45">
        <f t="shared" si="2"/>
        <v>2</v>
      </c>
      <c r="AG8" s="48">
        <f t="shared" si="2"/>
        <v>0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/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/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45901</v>
      </c>
      <c r="D78" s="95">
        <f t="shared" ref="D78:AG78" si="10">D7</f>
        <v>45902</v>
      </c>
      <c r="E78" s="95">
        <f t="shared" si="10"/>
        <v>45903</v>
      </c>
      <c r="F78" s="95">
        <f t="shared" si="10"/>
        <v>45904</v>
      </c>
      <c r="G78" s="95">
        <f t="shared" si="10"/>
        <v>45905</v>
      </c>
      <c r="H78" s="95">
        <f t="shared" si="10"/>
        <v>45906</v>
      </c>
      <c r="I78" s="95">
        <f t="shared" si="10"/>
        <v>45907</v>
      </c>
      <c r="J78" s="95">
        <f t="shared" si="10"/>
        <v>45908</v>
      </c>
      <c r="K78" s="95">
        <f t="shared" si="10"/>
        <v>45909</v>
      </c>
      <c r="L78" s="95">
        <f t="shared" si="10"/>
        <v>45910</v>
      </c>
      <c r="M78" s="95">
        <f t="shared" si="10"/>
        <v>45911</v>
      </c>
      <c r="N78" s="95">
        <f t="shared" si="10"/>
        <v>45912</v>
      </c>
      <c r="O78" s="95">
        <f t="shared" si="10"/>
        <v>45913</v>
      </c>
      <c r="P78" s="95">
        <f t="shared" si="10"/>
        <v>45914</v>
      </c>
      <c r="Q78" s="95">
        <f t="shared" si="10"/>
        <v>45915</v>
      </c>
      <c r="R78" s="95">
        <f t="shared" si="10"/>
        <v>45916</v>
      </c>
      <c r="S78" s="95">
        <f t="shared" si="10"/>
        <v>45917</v>
      </c>
      <c r="T78" s="95">
        <f t="shared" si="10"/>
        <v>45918</v>
      </c>
      <c r="U78" s="95">
        <f t="shared" si="10"/>
        <v>45919</v>
      </c>
      <c r="V78" s="95">
        <f t="shared" si="10"/>
        <v>45920</v>
      </c>
      <c r="W78" s="95">
        <f t="shared" si="10"/>
        <v>45921</v>
      </c>
      <c r="X78" s="95">
        <f t="shared" si="10"/>
        <v>45922</v>
      </c>
      <c r="Y78" s="95">
        <f t="shared" si="10"/>
        <v>45923</v>
      </c>
      <c r="Z78" s="95">
        <f t="shared" si="10"/>
        <v>45924</v>
      </c>
      <c r="AA78" s="95">
        <f t="shared" si="10"/>
        <v>45925</v>
      </c>
      <c r="AB78" s="95">
        <f t="shared" si="10"/>
        <v>45926</v>
      </c>
      <c r="AC78" s="95">
        <f t="shared" si="10"/>
        <v>45927</v>
      </c>
      <c r="AD78" s="95">
        <f t="shared" si="10"/>
        <v>45928</v>
      </c>
      <c r="AE78" s="95">
        <f t="shared" si="10"/>
        <v>45929</v>
      </c>
      <c r="AF78" s="95">
        <f t="shared" si="10"/>
        <v>45930</v>
      </c>
      <c r="AG78" s="95" t="str">
        <f t="shared" si="10"/>
        <v/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9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203" priority="35" stopIfTrue="1" operator="equal">
      <formula>0</formula>
    </cfRule>
  </conditionalFormatting>
  <conditionalFormatting sqref="C6:AG9">
    <cfRule type="expression" dxfId="202" priority="33">
      <formula>C$9="FT"</formula>
    </cfRule>
    <cfRule type="expression" dxfId="201" priority="34">
      <formula>C$8&gt;5</formula>
    </cfRule>
  </conditionalFormatting>
  <conditionalFormatting sqref="B50">
    <cfRule type="expression" dxfId="200" priority="31">
      <formula>B$50="WS"</formula>
    </cfRule>
    <cfRule type="expression" dxfId="199" priority="32">
      <formula>B$50="SZ"</formula>
    </cfRule>
  </conditionalFormatting>
  <conditionalFormatting sqref="C10:AG49">
    <cfRule type="expression" dxfId="198" priority="4" stopIfTrue="1">
      <formula>C10="U"</formula>
    </cfRule>
    <cfRule type="expression" dxfId="197" priority="5">
      <formula>C10="K"</formula>
    </cfRule>
    <cfRule type="expression" dxfId="196" priority="6">
      <formula>C10="AWP"</formula>
    </cfRule>
    <cfRule type="expression" dxfId="195" priority="21" stopIfTrue="1">
      <formula>C10="TES"</formula>
    </cfRule>
    <cfRule type="expression" dxfId="194" priority="27" stopIfTrue="1">
      <formula>C10="S"</formula>
    </cfRule>
    <cfRule type="expression" dxfId="193" priority="28">
      <formula>C$9="FT"</formula>
    </cfRule>
    <cfRule type="expression" dxfId="192" priority="29">
      <formula>C$8&gt;5</formula>
    </cfRule>
    <cfRule type="expression" dxfId="191" priority="30" stopIfTrue="1">
      <formula>OR(C10="X",C10="FS")</formula>
    </cfRule>
  </conditionalFormatting>
  <conditionalFormatting sqref="C50:AG50">
    <cfRule type="expression" dxfId="190" priority="22" stopIfTrue="1">
      <formula>C$50="S"</formula>
    </cfRule>
  </conditionalFormatting>
  <conditionalFormatting sqref="AI10:AI49">
    <cfRule type="cellIs" dxfId="189" priority="25" stopIfTrue="1" operator="equal">
      <formula>0</formula>
    </cfRule>
    <cfRule type="cellIs" dxfId="188" priority="26" operator="greaterThan">
      <formula>0</formula>
    </cfRule>
  </conditionalFormatting>
  <conditionalFormatting sqref="AH10:AH49">
    <cfRule type="cellIs" dxfId="187" priority="24" operator="equal">
      <formula>0</formula>
    </cfRule>
  </conditionalFormatting>
  <conditionalFormatting sqref="AJ10:AJ49">
    <cfRule type="cellIs" dxfId="186" priority="23" operator="equal">
      <formula>0</formula>
    </cfRule>
  </conditionalFormatting>
  <conditionalFormatting sqref="C84:AG84">
    <cfRule type="expression" dxfId="185" priority="12" stopIfTrue="1">
      <formula>IF($B$84="",1,0)</formula>
    </cfRule>
    <cfRule type="expression" dxfId="184" priority="36" stopIfTrue="1">
      <formula>IF(C$84&lt;&gt;$C$104,1,0)</formula>
    </cfRule>
    <cfRule type="expression" dxfId="183" priority="37" stopIfTrue="1">
      <formula>IF(C$84=$C$104,1,0)</formula>
    </cfRule>
  </conditionalFormatting>
  <conditionalFormatting sqref="C85:AG85">
    <cfRule type="expression" dxfId="182" priority="13" stopIfTrue="1">
      <formula>IF($B$85="",1,0)</formula>
    </cfRule>
    <cfRule type="expression" dxfId="181" priority="38">
      <formula>IF(C$85=$C$105,1,0)</formula>
    </cfRule>
    <cfRule type="expression" dxfId="180" priority="39">
      <formula>IF(C$85&lt;&gt;$C$105,1,0)</formula>
    </cfRule>
  </conditionalFormatting>
  <conditionalFormatting sqref="C86:AG86">
    <cfRule type="expression" dxfId="179" priority="14" stopIfTrue="1">
      <formula>IF($B$86="",1,0)</formula>
    </cfRule>
    <cfRule type="expression" dxfId="178" priority="40" stopIfTrue="1">
      <formula>IF(C$86&lt;&gt;$C$106,1,0)</formula>
    </cfRule>
    <cfRule type="expression" dxfId="177" priority="41" stopIfTrue="1">
      <formula>IF(C$86=$C$106,1,0)</formula>
    </cfRule>
  </conditionalFormatting>
  <conditionalFormatting sqref="C79:AG79">
    <cfRule type="expression" dxfId="176" priority="7">
      <formula>IF($B$79="",1,0)</formula>
    </cfRule>
    <cfRule type="expression" dxfId="175" priority="42">
      <formula>IF(C$79=$C$99,1,0)</formula>
    </cfRule>
    <cfRule type="expression" dxfId="174" priority="43">
      <formula>IF(C$79&lt;&gt;$C$99,1,0)</formula>
    </cfRule>
  </conditionalFormatting>
  <conditionalFormatting sqref="C81:AG81">
    <cfRule type="expression" dxfId="173" priority="9">
      <formula>IF($B$81="",1,0)</formula>
    </cfRule>
    <cfRule type="expression" dxfId="172" priority="44">
      <formula>IF(C$81=$C$101,1,0)</formula>
    </cfRule>
    <cfRule type="expression" dxfId="171" priority="45">
      <formula>IF(C$81&lt;&gt;$C$101,1,0)</formula>
    </cfRule>
  </conditionalFormatting>
  <conditionalFormatting sqref="C80:AG80">
    <cfRule type="expression" dxfId="170" priority="8">
      <formula>IF($B$80="",1,0)</formula>
    </cfRule>
    <cfRule type="expression" dxfId="169" priority="46">
      <formula>IF(C$80&lt;&gt;$C$100,1,0)</formula>
    </cfRule>
    <cfRule type="expression" dxfId="168" priority="47">
      <formula>IF(C$80=$C$100,1,0)</formula>
    </cfRule>
  </conditionalFormatting>
  <conditionalFormatting sqref="C82:AG82">
    <cfRule type="expression" dxfId="167" priority="10">
      <formula>IF($B$82="",1,0)</formula>
    </cfRule>
    <cfRule type="expression" dxfId="166" priority="48">
      <formula>IF(C$82&lt;&gt;$C$102,1,0)</formula>
    </cfRule>
    <cfRule type="expression" dxfId="165" priority="49">
      <formula>IF(C$82=$C$102,1,0)</formula>
    </cfRule>
  </conditionalFormatting>
  <conditionalFormatting sqref="C83:AG83">
    <cfRule type="expression" dxfId="164" priority="11" stopIfTrue="1">
      <formula>IF($B$83="",1,0)</formula>
    </cfRule>
    <cfRule type="expression" dxfId="163" priority="50" stopIfTrue="1">
      <formula>IF(C$83=$C$103,1,0)</formula>
    </cfRule>
    <cfRule type="expression" dxfId="162" priority="51" stopIfTrue="1">
      <formula>IF(C$83&lt;&gt;$C$103,1,0)</formula>
    </cfRule>
  </conditionalFormatting>
  <conditionalFormatting sqref="C88:AG88">
    <cfRule type="expression" dxfId="161" priority="16" stopIfTrue="1">
      <formula>IF($B$88="",1,0)</formula>
    </cfRule>
    <cfRule type="expression" dxfId="160" priority="19" stopIfTrue="1">
      <formula>IF(C$88&lt;&gt;$C$108,1,0)</formula>
    </cfRule>
    <cfRule type="expression" dxfId="159" priority="20" stopIfTrue="1">
      <formula>IF(C$88=$C$108,1,0)</formula>
    </cfRule>
  </conditionalFormatting>
  <conditionalFormatting sqref="C87:AG87">
    <cfRule type="expression" dxfId="158" priority="15" stopIfTrue="1">
      <formula>IF($B$87="",1,0)</formula>
    </cfRule>
    <cfRule type="expression" dxfId="157" priority="17" stopIfTrue="1">
      <formula>IF(C$87&lt;&gt;$C$107,1,0)</formula>
    </cfRule>
    <cfRule type="expression" dxfId="156" priority="18" stopIfTrue="1">
      <formula>IF(C$87=$C$107,1,0)</formula>
    </cfRule>
  </conditionalFormatting>
  <conditionalFormatting sqref="C5:AG5">
    <cfRule type="expression" dxfId="155" priority="3">
      <formula>C5="SZ"</formula>
    </cfRule>
  </conditionalFormatting>
  <conditionalFormatting sqref="B5">
    <cfRule type="expression" dxfId="154" priority="1">
      <formula>B$50="WS"</formula>
    </cfRule>
    <cfRule type="expression" dxfId="153" priority="2">
      <formula>B$50="SZ"</formula>
    </cfRule>
  </conditionalFormatting>
  <dataValidations count="1">
    <dataValidation type="list" allowBlank="1" showInputMessage="1" showErrorMessage="1" sqref="B10:B49" xr:uid="{C97BDDA2-DBCB-4242-8BC5-C79F51BCF743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0DDE9-3084-48C8-B00D-634DAC326782}">
  <sheetPr codeName="Dienstplan10">
    <tabColor theme="4"/>
    <pageSetUpPr fitToPage="1"/>
  </sheetPr>
  <dimension ref="A1:BB113"/>
  <sheetViews>
    <sheetView showGridLines="0" zoomScale="70" zoomScaleNormal="70" workbookViewId="0">
      <selection activeCell="C95" sqref="C95:H95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Oktober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1.10.2025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45931</v>
      </c>
      <c r="D6" s="54">
        <f t="shared" ref="D6:AG6" si="0">IF(MONTH(DATE(YEAR($L$3),MONTH($L$3),COLUMN()-COLUMN($B6)))&gt;MONTH($L$3),"",DATE(YEAR($L$3),MONTH($L$3),COLUMN()-COLUMN($B6)))</f>
        <v>45932</v>
      </c>
      <c r="E6" s="54">
        <f t="shared" si="0"/>
        <v>45933</v>
      </c>
      <c r="F6" s="54">
        <f t="shared" si="0"/>
        <v>45934</v>
      </c>
      <c r="G6" s="54">
        <f t="shared" si="0"/>
        <v>45935</v>
      </c>
      <c r="H6" s="54">
        <f t="shared" si="0"/>
        <v>45936</v>
      </c>
      <c r="I6" s="54">
        <f t="shared" si="0"/>
        <v>45937</v>
      </c>
      <c r="J6" s="54">
        <f t="shared" si="0"/>
        <v>45938</v>
      </c>
      <c r="K6" s="54">
        <f t="shared" si="0"/>
        <v>45939</v>
      </c>
      <c r="L6" s="54">
        <f t="shared" si="0"/>
        <v>45940</v>
      </c>
      <c r="M6" s="54">
        <f t="shared" si="0"/>
        <v>45941</v>
      </c>
      <c r="N6" s="54">
        <f t="shared" si="0"/>
        <v>45942</v>
      </c>
      <c r="O6" s="54">
        <f t="shared" si="0"/>
        <v>45943</v>
      </c>
      <c r="P6" s="54">
        <f t="shared" si="0"/>
        <v>45944</v>
      </c>
      <c r="Q6" s="54">
        <f t="shared" si="0"/>
        <v>45945</v>
      </c>
      <c r="R6" s="54">
        <f t="shared" si="0"/>
        <v>45946</v>
      </c>
      <c r="S6" s="54">
        <f t="shared" si="0"/>
        <v>45947</v>
      </c>
      <c r="T6" s="54">
        <f t="shared" si="0"/>
        <v>45948</v>
      </c>
      <c r="U6" s="54">
        <f t="shared" si="0"/>
        <v>45949</v>
      </c>
      <c r="V6" s="54">
        <f t="shared" si="0"/>
        <v>45950</v>
      </c>
      <c r="W6" s="54">
        <f t="shared" si="0"/>
        <v>45951</v>
      </c>
      <c r="X6" s="54">
        <f t="shared" si="0"/>
        <v>45952</v>
      </c>
      <c r="Y6" s="54">
        <f t="shared" si="0"/>
        <v>45953</v>
      </c>
      <c r="Z6" s="54">
        <f t="shared" si="0"/>
        <v>45954</v>
      </c>
      <c r="AA6" s="54">
        <f t="shared" si="0"/>
        <v>45955</v>
      </c>
      <c r="AB6" s="54">
        <f t="shared" si="0"/>
        <v>45956</v>
      </c>
      <c r="AC6" s="54">
        <f t="shared" si="0"/>
        <v>45957</v>
      </c>
      <c r="AD6" s="54">
        <f t="shared" si="0"/>
        <v>45958</v>
      </c>
      <c r="AE6" s="54">
        <f t="shared" si="0"/>
        <v>45959</v>
      </c>
      <c r="AF6" s="54">
        <f t="shared" si="0"/>
        <v>45960</v>
      </c>
      <c r="AG6" s="55">
        <f t="shared" si="0"/>
        <v>45961</v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45931</v>
      </c>
      <c r="D7" s="57">
        <f t="shared" ref="D7:AG7" si="1">IF(MONTH(DATE(YEAR($L$3),MONTH($L$3),COLUMN()-COLUMN($B6)))&gt;MONTH($L$3),"",DATE(YEAR($L$3),MONTH($L$3),COLUMN()-COLUMN($B6)))</f>
        <v>45932</v>
      </c>
      <c r="E7" s="57">
        <f t="shared" si="1"/>
        <v>45933</v>
      </c>
      <c r="F7" s="57">
        <f t="shared" si="1"/>
        <v>45934</v>
      </c>
      <c r="G7" s="57">
        <f t="shared" si="1"/>
        <v>45935</v>
      </c>
      <c r="H7" s="57">
        <f t="shared" si="1"/>
        <v>45936</v>
      </c>
      <c r="I7" s="57">
        <f t="shared" si="1"/>
        <v>45937</v>
      </c>
      <c r="J7" s="57">
        <f t="shared" si="1"/>
        <v>45938</v>
      </c>
      <c r="K7" s="57">
        <f t="shared" si="1"/>
        <v>45939</v>
      </c>
      <c r="L7" s="57">
        <f t="shared" si="1"/>
        <v>45940</v>
      </c>
      <c r="M7" s="57">
        <f t="shared" si="1"/>
        <v>45941</v>
      </c>
      <c r="N7" s="57">
        <f t="shared" si="1"/>
        <v>45942</v>
      </c>
      <c r="O7" s="57">
        <f t="shared" si="1"/>
        <v>45943</v>
      </c>
      <c r="P7" s="57">
        <f t="shared" si="1"/>
        <v>45944</v>
      </c>
      <c r="Q7" s="57">
        <f t="shared" si="1"/>
        <v>45945</v>
      </c>
      <c r="R7" s="57">
        <f t="shared" si="1"/>
        <v>45946</v>
      </c>
      <c r="S7" s="57">
        <f t="shared" si="1"/>
        <v>45947</v>
      </c>
      <c r="T7" s="57">
        <f t="shared" si="1"/>
        <v>45948</v>
      </c>
      <c r="U7" s="57">
        <f t="shared" si="1"/>
        <v>45949</v>
      </c>
      <c r="V7" s="57">
        <f t="shared" si="1"/>
        <v>45950</v>
      </c>
      <c r="W7" s="57">
        <f t="shared" si="1"/>
        <v>45951</v>
      </c>
      <c r="X7" s="57">
        <f t="shared" si="1"/>
        <v>45952</v>
      </c>
      <c r="Y7" s="57">
        <f t="shared" si="1"/>
        <v>45953</v>
      </c>
      <c r="Z7" s="57">
        <f t="shared" si="1"/>
        <v>45954</v>
      </c>
      <c r="AA7" s="57">
        <f t="shared" si="1"/>
        <v>45955</v>
      </c>
      <c r="AB7" s="57">
        <f t="shared" si="1"/>
        <v>45956</v>
      </c>
      <c r="AC7" s="57">
        <f t="shared" si="1"/>
        <v>45957</v>
      </c>
      <c r="AD7" s="57">
        <f t="shared" si="1"/>
        <v>45958</v>
      </c>
      <c r="AE7" s="57">
        <f t="shared" si="1"/>
        <v>45959</v>
      </c>
      <c r="AF7" s="57">
        <f t="shared" si="1"/>
        <v>45960</v>
      </c>
      <c r="AG7" s="58">
        <f t="shared" si="1"/>
        <v>45961</v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3</v>
      </c>
      <c r="D8" s="45">
        <f>IFERROR(WEEKDAY(D6,2), 0)</f>
        <v>4</v>
      </c>
      <c r="E8" s="45">
        <f t="shared" ref="E8:AG8" si="2">IFERROR(WEEKDAY(E6,2), 0)</f>
        <v>5</v>
      </c>
      <c r="F8" s="45">
        <f t="shared" si="2"/>
        <v>6</v>
      </c>
      <c r="G8" s="45">
        <f t="shared" si="2"/>
        <v>7</v>
      </c>
      <c r="H8" s="45">
        <f t="shared" si="2"/>
        <v>1</v>
      </c>
      <c r="I8" s="45">
        <f t="shared" si="2"/>
        <v>2</v>
      </c>
      <c r="J8" s="45">
        <f t="shared" si="2"/>
        <v>3</v>
      </c>
      <c r="K8" s="45">
        <f t="shared" si="2"/>
        <v>4</v>
      </c>
      <c r="L8" s="45">
        <f t="shared" si="2"/>
        <v>5</v>
      </c>
      <c r="M8" s="45">
        <f t="shared" si="2"/>
        <v>6</v>
      </c>
      <c r="N8" s="45">
        <f t="shared" si="2"/>
        <v>7</v>
      </c>
      <c r="O8" s="45">
        <f t="shared" si="2"/>
        <v>1</v>
      </c>
      <c r="P8" s="45">
        <f t="shared" si="2"/>
        <v>2</v>
      </c>
      <c r="Q8" s="45">
        <f t="shared" si="2"/>
        <v>3</v>
      </c>
      <c r="R8" s="45">
        <f t="shared" si="2"/>
        <v>4</v>
      </c>
      <c r="S8" s="45">
        <f t="shared" si="2"/>
        <v>5</v>
      </c>
      <c r="T8" s="45">
        <f t="shared" si="2"/>
        <v>6</v>
      </c>
      <c r="U8" s="45">
        <f t="shared" si="2"/>
        <v>7</v>
      </c>
      <c r="V8" s="45">
        <f t="shared" si="2"/>
        <v>1</v>
      </c>
      <c r="W8" s="45">
        <f t="shared" si="2"/>
        <v>2</v>
      </c>
      <c r="X8" s="45">
        <f t="shared" si="2"/>
        <v>3</v>
      </c>
      <c r="Y8" s="45">
        <f t="shared" si="2"/>
        <v>4</v>
      </c>
      <c r="Z8" s="45">
        <f t="shared" si="2"/>
        <v>5</v>
      </c>
      <c r="AA8" s="45">
        <f t="shared" si="2"/>
        <v>6</v>
      </c>
      <c r="AB8" s="45">
        <f t="shared" si="2"/>
        <v>7</v>
      </c>
      <c r="AC8" s="45">
        <f t="shared" si="2"/>
        <v>1</v>
      </c>
      <c r="AD8" s="45">
        <f t="shared" si="2"/>
        <v>2</v>
      </c>
      <c r="AE8" s="45">
        <f t="shared" si="2"/>
        <v>3</v>
      </c>
      <c r="AF8" s="45">
        <f t="shared" si="2"/>
        <v>4</v>
      </c>
      <c r="AG8" s="48">
        <f t="shared" si="2"/>
        <v>5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/>
      </c>
      <c r="D9" s="10" t="str">
        <f>IF(ISNA(VLOOKUP(D$6,Einstellungen!$B$8:$B$22,1,0)),"","FT")</f>
        <v/>
      </c>
      <c r="E9" s="10" t="str">
        <f>IF(ISNA(VLOOKUP(E$6,Einstellungen!$B$8:$B$22,1,0)),"","FT")</f>
        <v>FT</v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/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45931</v>
      </c>
      <c r="D78" s="95">
        <f t="shared" ref="D78:AG78" si="10">D7</f>
        <v>45932</v>
      </c>
      <c r="E78" s="95">
        <f t="shared" si="10"/>
        <v>45933</v>
      </c>
      <c r="F78" s="95">
        <f t="shared" si="10"/>
        <v>45934</v>
      </c>
      <c r="G78" s="95">
        <f t="shared" si="10"/>
        <v>45935</v>
      </c>
      <c r="H78" s="95">
        <f t="shared" si="10"/>
        <v>45936</v>
      </c>
      <c r="I78" s="95">
        <f t="shared" si="10"/>
        <v>45937</v>
      </c>
      <c r="J78" s="95">
        <f t="shared" si="10"/>
        <v>45938</v>
      </c>
      <c r="K78" s="95">
        <f t="shared" si="10"/>
        <v>45939</v>
      </c>
      <c r="L78" s="95">
        <f t="shared" si="10"/>
        <v>45940</v>
      </c>
      <c r="M78" s="95">
        <f t="shared" si="10"/>
        <v>45941</v>
      </c>
      <c r="N78" s="95">
        <f t="shared" si="10"/>
        <v>45942</v>
      </c>
      <c r="O78" s="95">
        <f t="shared" si="10"/>
        <v>45943</v>
      </c>
      <c r="P78" s="95">
        <f t="shared" si="10"/>
        <v>45944</v>
      </c>
      <c r="Q78" s="95">
        <f t="shared" si="10"/>
        <v>45945</v>
      </c>
      <c r="R78" s="95">
        <f t="shared" si="10"/>
        <v>45946</v>
      </c>
      <c r="S78" s="95">
        <f t="shared" si="10"/>
        <v>45947</v>
      </c>
      <c r="T78" s="95">
        <f t="shared" si="10"/>
        <v>45948</v>
      </c>
      <c r="U78" s="95">
        <f t="shared" si="10"/>
        <v>45949</v>
      </c>
      <c r="V78" s="95">
        <f t="shared" si="10"/>
        <v>45950</v>
      </c>
      <c r="W78" s="95">
        <f t="shared" si="10"/>
        <v>45951</v>
      </c>
      <c r="X78" s="95">
        <f t="shared" si="10"/>
        <v>45952</v>
      </c>
      <c r="Y78" s="95">
        <f t="shared" si="10"/>
        <v>45953</v>
      </c>
      <c r="Z78" s="95">
        <f t="shared" si="10"/>
        <v>45954</v>
      </c>
      <c r="AA78" s="95">
        <f t="shared" si="10"/>
        <v>45955</v>
      </c>
      <c r="AB78" s="95">
        <f t="shared" si="10"/>
        <v>45956</v>
      </c>
      <c r="AC78" s="95">
        <f t="shared" si="10"/>
        <v>45957</v>
      </c>
      <c r="AD78" s="95">
        <f t="shared" si="10"/>
        <v>45958</v>
      </c>
      <c r="AE78" s="95">
        <f t="shared" si="10"/>
        <v>45959</v>
      </c>
      <c r="AF78" s="95">
        <f t="shared" si="10"/>
        <v>45960</v>
      </c>
      <c r="AG78" s="95">
        <f t="shared" si="10"/>
        <v>45961</v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10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152" priority="35" stopIfTrue="1" operator="equal">
      <formula>0</formula>
    </cfRule>
  </conditionalFormatting>
  <conditionalFormatting sqref="C6:AG9">
    <cfRule type="expression" dxfId="151" priority="33">
      <formula>C$9="FT"</formula>
    </cfRule>
    <cfRule type="expression" dxfId="150" priority="34">
      <formula>C$8&gt;5</formula>
    </cfRule>
  </conditionalFormatting>
  <conditionalFormatting sqref="B50">
    <cfRule type="expression" dxfId="149" priority="31">
      <formula>B$50="WS"</formula>
    </cfRule>
    <cfRule type="expression" dxfId="148" priority="32">
      <formula>B$50="SZ"</formula>
    </cfRule>
  </conditionalFormatting>
  <conditionalFormatting sqref="C10:AG49">
    <cfRule type="expression" dxfId="147" priority="4" stopIfTrue="1">
      <formula>C10="U"</formula>
    </cfRule>
    <cfRule type="expression" dxfId="146" priority="5">
      <formula>C10="K"</formula>
    </cfRule>
    <cfRule type="expression" dxfId="145" priority="6">
      <formula>C10="AWP"</formula>
    </cfRule>
    <cfRule type="expression" dxfId="144" priority="21" stopIfTrue="1">
      <formula>C10="TES"</formula>
    </cfRule>
    <cfRule type="expression" dxfId="143" priority="27" stopIfTrue="1">
      <formula>C10="S"</formula>
    </cfRule>
    <cfRule type="expression" dxfId="142" priority="28">
      <formula>C$9="FT"</formula>
    </cfRule>
    <cfRule type="expression" dxfId="141" priority="29">
      <formula>C$8&gt;5</formula>
    </cfRule>
    <cfRule type="expression" dxfId="140" priority="30" stopIfTrue="1">
      <formula>OR(C10="X",C10="FS")</formula>
    </cfRule>
  </conditionalFormatting>
  <conditionalFormatting sqref="C50:AG50">
    <cfRule type="expression" dxfId="139" priority="22" stopIfTrue="1">
      <formula>C$50="S"</formula>
    </cfRule>
  </conditionalFormatting>
  <conditionalFormatting sqref="AI10:AI49">
    <cfRule type="cellIs" dxfId="138" priority="25" stopIfTrue="1" operator="equal">
      <formula>0</formula>
    </cfRule>
    <cfRule type="cellIs" dxfId="137" priority="26" operator="greaterThan">
      <formula>0</formula>
    </cfRule>
  </conditionalFormatting>
  <conditionalFormatting sqref="AH10:AH49">
    <cfRule type="cellIs" dxfId="136" priority="24" operator="equal">
      <formula>0</formula>
    </cfRule>
  </conditionalFormatting>
  <conditionalFormatting sqref="AJ10:AJ49">
    <cfRule type="cellIs" dxfId="135" priority="23" operator="equal">
      <formula>0</formula>
    </cfRule>
  </conditionalFormatting>
  <conditionalFormatting sqref="C84:AG84">
    <cfRule type="expression" dxfId="134" priority="12" stopIfTrue="1">
      <formula>IF($B$84="",1,0)</formula>
    </cfRule>
    <cfRule type="expression" dxfId="133" priority="36" stopIfTrue="1">
      <formula>IF(C$84&lt;&gt;$C$104,1,0)</formula>
    </cfRule>
    <cfRule type="expression" dxfId="132" priority="37" stopIfTrue="1">
      <formula>IF(C$84=$C$104,1,0)</formula>
    </cfRule>
  </conditionalFormatting>
  <conditionalFormatting sqref="C85:AG85">
    <cfRule type="expression" dxfId="131" priority="13" stopIfTrue="1">
      <formula>IF($B$85="",1,0)</formula>
    </cfRule>
    <cfRule type="expression" dxfId="130" priority="38">
      <formula>IF(C$85=$C$105,1,0)</formula>
    </cfRule>
    <cfRule type="expression" dxfId="129" priority="39">
      <formula>IF(C$85&lt;&gt;$C$105,1,0)</formula>
    </cfRule>
  </conditionalFormatting>
  <conditionalFormatting sqref="C86:AG86">
    <cfRule type="expression" dxfId="128" priority="14" stopIfTrue="1">
      <formula>IF($B$86="",1,0)</formula>
    </cfRule>
    <cfRule type="expression" dxfId="127" priority="40" stopIfTrue="1">
      <formula>IF(C$86&lt;&gt;$C$106,1,0)</formula>
    </cfRule>
    <cfRule type="expression" dxfId="126" priority="41" stopIfTrue="1">
      <formula>IF(C$86=$C$106,1,0)</formula>
    </cfRule>
  </conditionalFormatting>
  <conditionalFormatting sqref="C79:AG79">
    <cfRule type="expression" dxfId="125" priority="7">
      <formula>IF($B$79="",1,0)</formula>
    </cfRule>
    <cfRule type="expression" dxfId="124" priority="42">
      <formula>IF(C$79=$C$99,1,0)</formula>
    </cfRule>
    <cfRule type="expression" dxfId="123" priority="43">
      <formula>IF(C$79&lt;&gt;$C$99,1,0)</formula>
    </cfRule>
  </conditionalFormatting>
  <conditionalFormatting sqref="C81:AG81">
    <cfRule type="expression" dxfId="122" priority="9">
      <formula>IF($B$81="",1,0)</formula>
    </cfRule>
    <cfRule type="expression" dxfId="121" priority="44">
      <formula>IF(C$81=$C$101,1,0)</formula>
    </cfRule>
    <cfRule type="expression" dxfId="120" priority="45">
      <formula>IF(C$81&lt;&gt;$C$101,1,0)</formula>
    </cfRule>
  </conditionalFormatting>
  <conditionalFormatting sqref="C80:AG80">
    <cfRule type="expression" dxfId="119" priority="8">
      <formula>IF($B$80="",1,0)</formula>
    </cfRule>
    <cfRule type="expression" dxfId="118" priority="46">
      <formula>IF(C$80&lt;&gt;$C$100,1,0)</formula>
    </cfRule>
    <cfRule type="expression" dxfId="117" priority="47">
      <formula>IF(C$80=$C$100,1,0)</formula>
    </cfRule>
  </conditionalFormatting>
  <conditionalFormatting sqref="C82:AG82">
    <cfRule type="expression" dxfId="116" priority="10">
      <formula>IF($B$82="",1,0)</formula>
    </cfRule>
    <cfRule type="expression" dxfId="115" priority="48">
      <formula>IF(C$82&lt;&gt;$C$102,1,0)</formula>
    </cfRule>
    <cfRule type="expression" dxfId="114" priority="49">
      <formula>IF(C$82=$C$102,1,0)</formula>
    </cfRule>
  </conditionalFormatting>
  <conditionalFormatting sqref="C83:AG83">
    <cfRule type="expression" dxfId="113" priority="11" stopIfTrue="1">
      <formula>IF($B$83="",1,0)</formula>
    </cfRule>
    <cfRule type="expression" dxfId="112" priority="50" stopIfTrue="1">
      <formula>IF(C$83=$C$103,1,0)</formula>
    </cfRule>
    <cfRule type="expression" dxfId="111" priority="51" stopIfTrue="1">
      <formula>IF(C$83&lt;&gt;$C$103,1,0)</formula>
    </cfRule>
  </conditionalFormatting>
  <conditionalFormatting sqref="C88:AG88">
    <cfRule type="expression" dxfId="110" priority="16" stopIfTrue="1">
      <formula>IF($B$88="",1,0)</formula>
    </cfRule>
    <cfRule type="expression" dxfId="109" priority="19" stopIfTrue="1">
      <formula>IF(C$88&lt;&gt;$C$108,1,0)</formula>
    </cfRule>
    <cfRule type="expression" dxfId="108" priority="20" stopIfTrue="1">
      <formula>IF(C$88=$C$108,1,0)</formula>
    </cfRule>
  </conditionalFormatting>
  <conditionalFormatting sqref="C87:AG87">
    <cfRule type="expression" dxfId="107" priority="15" stopIfTrue="1">
      <formula>IF($B$87="",1,0)</formula>
    </cfRule>
    <cfRule type="expression" dxfId="106" priority="17" stopIfTrue="1">
      <formula>IF(C$87&lt;&gt;$C$107,1,0)</formula>
    </cfRule>
    <cfRule type="expression" dxfId="105" priority="18" stopIfTrue="1">
      <formula>IF(C$87=$C$107,1,0)</formula>
    </cfRule>
  </conditionalFormatting>
  <conditionalFormatting sqref="C5:AG5">
    <cfRule type="expression" dxfId="104" priority="3">
      <formula>C5="SZ"</formula>
    </cfRule>
  </conditionalFormatting>
  <conditionalFormatting sqref="B5">
    <cfRule type="expression" dxfId="103" priority="1">
      <formula>B$50="WS"</formula>
    </cfRule>
    <cfRule type="expression" dxfId="102" priority="2">
      <formula>B$50="SZ"</formula>
    </cfRule>
  </conditionalFormatting>
  <dataValidations count="1">
    <dataValidation type="list" allowBlank="1" showInputMessage="1" showErrorMessage="1" sqref="B10:B49" xr:uid="{AD974AA9-01B3-48E9-AF89-7F68FC062039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9FAA3-669C-4124-9599-9E154607B243}">
  <sheetPr codeName="Dienstplan11">
    <tabColor theme="4"/>
    <pageSetUpPr fitToPage="1"/>
  </sheetPr>
  <dimension ref="A1:BB113"/>
  <sheetViews>
    <sheetView showGridLines="0" zoomScale="70" zoomScaleNormal="70" workbookViewId="0">
      <selection activeCell="C95" sqref="C95:H95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November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1.11.2025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45962</v>
      </c>
      <c r="D6" s="54">
        <f t="shared" ref="D6:AG6" si="0">IF(MONTH(DATE(YEAR($L$3),MONTH($L$3),COLUMN()-COLUMN($B6)))&gt;MONTH($L$3),"",DATE(YEAR($L$3),MONTH($L$3),COLUMN()-COLUMN($B6)))</f>
        <v>45963</v>
      </c>
      <c r="E6" s="54">
        <f t="shared" si="0"/>
        <v>45964</v>
      </c>
      <c r="F6" s="54">
        <f t="shared" si="0"/>
        <v>45965</v>
      </c>
      <c r="G6" s="54">
        <f t="shared" si="0"/>
        <v>45966</v>
      </c>
      <c r="H6" s="54">
        <f t="shared" si="0"/>
        <v>45967</v>
      </c>
      <c r="I6" s="54">
        <f t="shared" si="0"/>
        <v>45968</v>
      </c>
      <c r="J6" s="54">
        <f t="shared" si="0"/>
        <v>45969</v>
      </c>
      <c r="K6" s="54">
        <f t="shared" si="0"/>
        <v>45970</v>
      </c>
      <c r="L6" s="54">
        <f t="shared" si="0"/>
        <v>45971</v>
      </c>
      <c r="M6" s="54">
        <f t="shared" si="0"/>
        <v>45972</v>
      </c>
      <c r="N6" s="54">
        <f t="shared" si="0"/>
        <v>45973</v>
      </c>
      <c r="O6" s="54">
        <f t="shared" si="0"/>
        <v>45974</v>
      </c>
      <c r="P6" s="54">
        <f t="shared" si="0"/>
        <v>45975</v>
      </c>
      <c r="Q6" s="54">
        <f t="shared" si="0"/>
        <v>45976</v>
      </c>
      <c r="R6" s="54">
        <f t="shared" si="0"/>
        <v>45977</v>
      </c>
      <c r="S6" s="54">
        <f t="shared" si="0"/>
        <v>45978</v>
      </c>
      <c r="T6" s="54">
        <f t="shared" si="0"/>
        <v>45979</v>
      </c>
      <c r="U6" s="54">
        <f t="shared" si="0"/>
        <v>45980</v>
      </c>
      <c r="V6" s="54">
        <f t="shared" si="0"/>
        <v>45981</v>
      </c>
      <c r="W6" s="54">
        <f t="shared" si="0"/>
        <v>45982</v>
      </c>
      <c r="X6" s="54">
        <f t="shared" si="0"/>
        <v>45983</v>
      </c>
      <c r="Y6" s="54">
        <f t="shared" si="0"/>
        <v>45984</v>
      </c>
      <c r="Z6" s="54">
        <f t="shared" si="0"/>
        <v>45985</v>
      </c>
      <c r="AA6" s="54">
        <f t="shared" si="0"/>
        <v>45986</v>
      </c>
      <c r="AB6" s="54">
        <f t="shared" si="0"/>
        <v>45987</v>
      </c>
      <c r="AC6" s="54">
        <f t="shared" si="0"/>
        <v>45988</v>
      </c>
      <c r="AD6" s="54">
        <f t="shared" si="0"/>
        <v>45989</v>
      </c>
      <c r="AE6" s="54">
        <f t="shared" si="0"/>
        <v>45990</v>
      </c>
      <c r="AF6" s="54">
        <f t="shared" si="0"/>
        <v>45991</v>
      </c>
      <c r="AG6" s="55" t="str">
        <f t="shared" si="0"/>
        <v/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45962</v>
      </c>
      <c r="D7" s="57">
        <f t="shared" ref="D7:AG7" si="1">IF(MONTH(DATE(YEAR($L$3),MONTH($L$3),COLUMN()-COLUMN($B6)))&gt;MONTH($L$3),"",DATE(YEAR($L$3),MONTH($L$3),COLUMN()-COLUMN($B6)))</f>
        <v>45963</v>
      </c>
      <c r="E7" s="57">
        <f t="shared" si="1"/>
        <v>45964</v>
      </c>
      <c r="F7" s="57">
        <f t="shared" si="1"/>
        <v>45965</v>
      </c>
      <c r="G7" s="57">
        <f t="shared" si="1"/>
        <v>45966</v>
      </c>
      <c r="H7" s="57">
        <f t="shared" si="1"/>
        <v>45967</v>
      </c>
      <c r="I7" s="57">
        <f t="shared" si="1"/>
        <v>45968</v>
      </c>
      <c r="J7" s="57">
        <f t="shared" si="1"/>
        <v>45969</v>
      </c>
      <c r="K7" s="57">
        <f t="shared" si="1"/>
        <v>45970</v>
      </c>
      <c r="L7" s="57">
        <f t="shared" si="1"/>
        <v>45971</v>
      </c>
      <c r="M7" s="57">
        <f t="shared" si="1"/>
        <v>45972</v>
      </c>
      <c r="N7" s="57">
        <f t="shared" si="1"/>
        <v>45973</v>
      </c>
      <c r="O7" s="57">
        <f t="shared" si="1"/>
        <v>45974</v>
      </c>
      <c r="P7" s="57">
        <f t="shared" si="1"/>
        <v>45975</v>
      </c>
      <c r="Q7" s="57">
        <f t="shared" si="1"/>
        <v>45976</v>
      </c>
      <c r="R7" s="57">
        <f t="shared" si="1"/>
        <v>45977</v>
      </c>
      <c r="S7" s="57">
        <f t="shared" si="1"/>
        <v>45978</v>
      </c>
      <c r="T7" s="57">
        <f t="shared" si="1"/>
        <v>45979</v>
      </c>
      <c r="U7" s="57">
        <f t="shared" si="1"/>
        <v>45980</v>
      </c>
      <c r="V7" s="57">
        <f t="shared" si="1"/>
        <v>45981</v>
      </c>
      <c r="W7" s="57">
        <f t="shared" si="1"/>
        <v>45982</v>
      </c>
      <c r="X7" s="57">
        <f t="shared" si="1"/>
        <v>45983</v>
      </c>
      <c r="Y7" s="57">
        <f t="shared" si="1"/>
        <v>45984</v>
      </c>
      <c r="Z7" s="57">
        <f t="shared" si="1"/>
        <v>45985</v>
      </c>
      <c r="AA7" s="57">
        <f t="shared" si="1"/>
        <v>45986</v>
      </c>
      <c r="AB7" s="57">
        <f t="shared" si="1"/>
        <v>45987</v>
      </c>
      <c r="AC7" s="57">
        <f t="shared" si="1"/>
        <v>45988</v>
      </c>
      <c r="AD7" s="57">
        <f t="shared" si="1"/>
        <v>45989</v>
      </c>
      <c r="AE7" s="57">
        <f t="shared" si="1"/>
        <v>45990</v>
      </c>
      <c r="AF7" s="57">
        <f t="shared" si="1"/>
        <v>45991</v>
      </c>
      <c r="AG7" s="58" t="str">
        <f t="shared" si="1"/>
        <v/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6</v>
      </c>
      <c r="D8" s="45">
        <f>IFERROR(WEEKDAY(D6,2), 0)</f>
        <v>7</v>
      </c>
      <c r="E8" s="45">
        <f t="shared" ref="E8:AG8" si="2">IFERROR(WEEKDAY(E6,2), 0)</f>
        <v>1</v>
      </c>
      <c r="F8" s="45">
        <f t="shared" si="2"/>
        <v>2</v>
      </c>
      <c r="G8" s="45">
        <f t="shared" si="2"/>
        <v>3</v>
      </c>
      <c r="H8" s="45">
        <f t="shared" si="2"/>
        <v>4</v>
      </c>
      <c r="I8" s="45">
        <f t="shared" si="2"/>
        <v>5</v>
      </c>
      <c r="J8" s="45">
        <f t="shared" si="2"/>
        <v>6</v>
      </c>
      <c r="K8" s="45">
        <f t="shared" si="2"/>
        <v>7</v>
      </c>
      <c r="L8" s="45">
        <f t="shared" si="2"/>
        <v>1</v>
      </c>
      <c r="M8" s="45">
        <f t="shared" si="2"/>
        <v>2</v>
      </c>
      <c r="N8" s="45">
        <f t="shared" si="2"/>
        <v>3</v>
      </c>
      <c r="O8" s="45">
        <f t="shared" si="2"/>
        <v>4</v>
      </c>
      <c r="P8" s="45">
        <f t="shared" si="2"/>
        <v>5</v>
      </c>
      <c r="Q8" s="45">
        <f t="shared" si="2"/>
        <v>6</v>
      </c>
      <c r="R8" s="45">
        <f t="shared" si="2"/>
        <v>7</v>
      </c>
      <c r="S8" s="45">
        <f t="shared" si="2"/>
        <v>1</v>
      </c>
      <c r="T8" s="45">
        <f t="shared" si="2"/>
        <v>2</v>
      </c>
      <c r="U8" s="45">
        <f t="shared" si="2"/>
        <v>3</v>
      </c>
      <c r="V8" s="45">
        <f t="shared" si="2"/>
        <v>4</v>
      </c>
      <c r="W8" s="45">
        <f t="shared" si="2"/>
        <v>5</v>
      </c>
      <c r="X8" s="45">
        <f t="shared" si="2"/>
        <v>6</v>
      </c>
      <c r="Y8" s="45">
        <f t="shared" si="2"/>
        <v>7</v>
      </c>
      <c r="Z8" s="45">
        <f t="shared" si="2"/>
        <v>1</v>
      </c>
      <c r="AA8" s="45">
        <f t="shared" si="2"/>
        <v>2</v>
      </c>
      <c r="AB8" s="45">
        <f t="shared" si="2"/>
        <v>3</v>
      </c>
      <c r="AC8" s="45">
        <f t="shared" si="2"/>
        <v>4</v>
      </c>
      <c r="AD8" s="45">
        <f t="shared" si="2"/>
        <v>5</v>
      </c>
      <c r="AE8" s="45">
        <f t="shared" si="2"/>
        <v>6</v>
      </c>
      <c r="AF8" s="45">
        <f t="shared" si="2"/>
        <v>7</v>
      </c>
      <c r="AG8" s="48">
        <f t="shared" si="2"/>
        <v>0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>FT</v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/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/>
      </c>
      <c r="AB9" s="10" t="str">
        <f>IF(ISNA(VLOOKUP(AB$6,Einstellungen!$B$8:$B$22,1,0)),"","FT")</f>
        <v/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45962</v>
      </c>
      <c r="D78" s="95">
        <f t="shared" ref="D78:AG78" si="10">D7</f>
        <v>45963</v>
      </c>
      <c r="E78" s="95">
        <f t="shared" si="10"/>
        <v>45964</v>
      </c>
      <c r="F78" s="95">
        <f t="shared" si="10"/>
        <v>45965</v>
      </c>
      <c r="G78" s="95">
        <f t="shared" si="10"/>
        <v>45966</v>
      </c>
      <c r="H78" s="95">
        <f t="shared" si="10"/>
        <v>45967</v>
      </c>
      <c r="I78" s="95">
        <f t="shared" si="10"/>
        <v>45968</v>
      </c>
      <c r="J78" s="95">
        <f t="shared" si="10"/>
        <v>45969</v>
      </c>
      <c r="K78" s="95">
        <f t="shared" si="10"/>
        <v>45970</v>
      </c>
      <c r="L78" s="95">
        <f t="shared" si="10"/>
        <v>45971</v>
      </c>
      <c r="M78" s="95">
        <f t="shared" si="10"/>
        <v>45972</v>
      </c>
      <c r="N78" s="95">
        <f t="shared" si="10"/>
        <v>45973</v>
      </c>
      <c r="O78" s="95">
        <f t="shared" si="10"/>
        <v>45974</v>
      </c>
      <c r="P78" s="95">
        <f t="shared" si="10"/>
        <v>45975</v>
      </c>
      <c r="Q78" s="95">
        <f t="shared" si="10"/>
        <v>45976</v>
      </c>
      <c r="R78" s="95">
        <f t="shared" si="10"/>
        <v>45977</v>
      </c>
      <c r="S78" s="95">
        <f t="shared" si="10"/>
        <v>45978</v>
      </c>
      <c r="T78" s="95">
        <f t="shared" si="10"/>
        <v>45979</v>
      </c>
      <c r="U78" s="95">
        <f t="shared" si="10"/>
        <v>45980</v>
      </c>
      <c r="V78" s="95">
        <f t="shared" si="10"/>
        <v>45981</v>
      </c>
      <c r="W78" s="95">
        <f t="shared" si="10"/>
        <v>45982</v>
      </c>
      <c r="X78" s="95">
        <f t="shared" si="10"/>
        <v>45983</v>
      </c>
      <c r="Y78" s="95">
        <f t="shared" si="10"/>
        <v>45984</v>
      </c>
      <c r="Z78" s="95">
        <f t="shared" si="10"/>
        <v>45985</v>
      </c>
      <c r="AA78" s="95">
        <f t="shared" si="10"/>
        <v>45986</v>
      </c>
      <c r="AB78" s="95">
        <f t="shared" si="10"/>
        <v>45987</v>
      </c>
      <c r="AC78" s="95">
        <f t="shared" si="10"/>
        <v>45988</v>
      </c>
      <c r="AD78" s="95">
        <f t="shared" si="10"/>
        <v>45989</v>
      </c>
      <c r="AE78" s="95">
        <f t="shared" si="10"/>
        <v>45990</v>
      </c>
      <c r="AF78" s="95">
        <f t="shared" si="10"/>
        <v>45991</v>
      </c>
      <c r="AG78" s="95" t="str">
        <f t="shared" si="10"/>
        <v/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11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101" priority="35" stopIfTrue="1" operator="equal">
      <formula>0</formula>
    </cfRule>
  </conditionalFormatting>
  <conditionalFormatting sqref="C6:AG9">
    <cfRule type="expression" dxfId="100" priority="33">
      <formula>C$9="FT"</formula>
    </cfRule>
    <cfRule type="expression" dxfId="99" priority="34">
      <formula>C$8&gt;5</formula>
    </cfRule>
  </conditionalFormatting>
  <conditionalFormatting sqref="B50">
    <cfRule type="expression" dxfId="98" priority="31">
      <formula>B$50="WS"</formula>
    </cfRule>
    <cfRule type="expression" dxfId="97" priority="32">
      <formula>B$50="SZ"</formula>
    </cfRule>
  </conditionalFormatting>
  <conditionalFormatting sqref="C10:AG49">
    <cfRule type="expression" dxfId="96" priority="4" stopIfTrue="1">
      <formula>C10="U"</formula>
    </cfRule>
    <cfRule type="expression" dxfId="95" priority="5">
      <formula>C10="K"</formula>
    </cfRule>
    <cfRule type="expression" dxfId="94" priority="6">
      <formula>C10="AWP"</formula>
    </cfRule>
    <cfRule type="expression" dxfId="93" priority="21" stopIfTrue="1">
      <formula>C10="TES"</formula>
    </cfRule>
    <cfRule type="expression" dxfId="92" priority="27" stopIfTrue="1">
      <formula>C10="S"</formula>
    </cfRule>
    <cfRule type="expression" dxfId="91" priority="28">
      <formula>C$9="FT"</formula>
    </cfRule>
    <cfRule type="expression" dxfId="90" priority="29">
      <formula>C$8&gt;5</formula>
    </cfRule>
    <cfRule type="expression" dxfId="89" priority="30" stopIfTrue="1">
      <formula>OR(C10="X",C10="FS")</formula>
    </cfRule>
  </conditionalFormatting>
  <conditionalFormatting sqref="C50:AG50">
    <cfRule type="expression" dxfId="88" priority="22" stopIfTrue="1">
      <formula>C$50="S"</formula>
    </cfRule>
  </conditionalFormatting>
  <conditionalFormatting sqref="AI10:AI49">
    <cfRule type="cellIs" dxfId="87" priority="25" stopIfTrue="1" operator="equal">
      <formula>0</formula>
    </cfRule>
    <cfRule type="cellIs" dxfId="86" priority="26" operator="greaterThan">
      <formula>0</formula>
    </cfRule>
  </conditionalFormatting>
  <conditionalFormatting sqref="AH10:AH49">
    <cfRule type="cellIs" dxfId="85" priority="24" operator="equal">
      <formula>0</formula>
    </cfRule>
  </conditionalFormatting>
  <conditionalFormatting sqref="AJ10:AJ49">
    <cfRule type="cellIs" dxfId="84" priority="23" operator="equal">
      <formula>0</formula>
    </cfRule>
  </conditionalFormatting>
  <conditionalFormatting sqref="C84:AG84">
    <cfRule type="expression" dxfId="83" priority="12" stopIfTrue="1">
      <formula>IF($B$84="",1,0)</formula>
    </cfRule>
    <cfRule type="expression" dxfId="82" priority="36" stopIfTrue="1">
      <formula>IF(C$84&lt;&gt;$C$104,1,0)</formula>
    </cfRule>
    <cfRule type="expression" dxfId="81" priority="37" stopIfTrue="1">
      <formula>IF(C$84=$C$104,1,0)</formula>
    </cfRule>
  </conditionalFormatting>
  <conditionalFormatting sqref="C85:AG85">
    <cfRule type="expression" dxfId="80" priority="13" stopIfTrue="1">
      <formula>IF($B$85="",1,0)</formula>
    </cfRule>
    <cfRule type="expression" dxfId="79" priority="38">
      <formula>IF(C$85=$C$105,1,0)</formula>
    </cfRule>
    <cfRule type="expression" dxfId="78" priority="39">
      <formula>IF(C$85&lt;&gt;$C$105,1,0)</formula>
    </cfRule>
  </conditionalFormatting>
  <conditionalFormatting sqref="C86:AG86">
    <cfRule type="expression" dxfId="77" priority="14" stopIfTrue="1">
      <formula>IF($B$86="",1,0)</formula>
    </cfRule>
    <cfRule type="expression" dxfId="76" priority="40" stopIfTrue="1">
      <formula>IF(C$86&lt;&gt;$C$106,1,0)</formula>
    </cfRule>
    <cfRule type="expression" dxfId="75" priority="41" stopIfTrue="1">
      <formula>IF(C$86=$C$106,1,0)</formula>
    </cfRule>
  </conditionalFormatting>
  <conditionalFormatting sqref="C79:AG79">
    <cfRule type="expression" dxfId="74" priority="7">
      <formula>IF($B$79="",1,0)</formula>
    </cfRule>
    <cfRule type="expression" dxfId="73" priority="42">
      <formula>IF(C$79=$C$99,1,0)</formula>
    </cfRule>
    <cfRule type="expression" dxfId="72" priority="43">
      <formula>IF(C$79&lt;&gt;$C$99,1,0)</formula>
    </cfRule>
  </conditionalFormatting>
  <conditionalFormatting sqref="C81:AG81">
    <cfRule type="expression" dxfId="71" priority="9">
      <formula>IF($B$81="",1,0)</formula>
    </cfRule>
    <cfRule type="expression" dxfId="70" priority="44">
      <formula>IF(C$81=$C$101,1,0)</formula>
    </cfRule>
    <cfRule type="expression" dxfId="69" priority="45">
      <formula>IF(C$81&lt;&gt;$C$101,1,0)</formula>
    </cfRule>
  </conditionalFormatting>
  <conditionalFormatting sqref="C80:AG80">
    <cfRule type="expression" dxfId="68" priority="8">
      <formula>IF($B$80="",1,0)</formula>
    </cfRule>
    <cfRule type="expression" dxfId="67" priority="46">
      <formula>IF(C$80&lt;&gt;$C$100,1,0)</formula>
    </cfRule>
    <cfRule type="expression" dxfId="66" priority="47">
      <formula>IF(C$80=$C$100,1,0)</formula>
    </cfRule>
  </conditionalFormatting>
  <conditionalFormatting sqref="C82:AG82">
    <cfRule type="expression" dxfId="65" priority="10">
      <formula>IF($B$82="",1,0)</formula>
    </cfRule>
    <cfRule type="expression" dxfId="64" priority="48">
      <formula>IF(C$82&lt;&gt;$C$102,1,0)</formula>
    </cfRule>
    <cfRule type="expression" dxfId="63" priority="49">
      <formula>IF(C$82=$C$102,1,0)</formula>
    </cfRule>
  </conditionalFormatting>
  <conditionalFormatting sqref="C83:AG83">
    <cfRule type="expression" dxfId="62" priority="11" stopIfTrue="1">
      <formula>IF($B$83="",1,0)</formula>
    </cfRule>
    <cfRule type="expression" dxfId="61" priority="50" stopIfTrue="1">
      <formula>IF(C$83=$C$103,1,0)</formula>
    </cfRule>
    <cfRule type="expression" dxfId="60" priority="51" stopIfTrue="1">
      <formula>IF(C$83&lt;&gt;$C$103,1,0)</formula>
    </cfRule>
  </conditionalFormatting>
  <conditionalFormatting sqref="C88:AG88">
    <cfRule type="expression" dxfId="59" priority="16" stopIfTrue="1">
      <formula>IF($B$88="",1,0)</formula>
    </cfRule>
    <cfRule type="expression" dxfId="58" priority="19" stopIfTrue="1">
      <formula>IF(C$88&lt;&gt;$C$108,1,0)</formula>
    </cfRule>
    <cfRule type="expression" dxfId="57" priority="20" stopIfTrue="1">
      <formula>IF(C$88=$C$108,1,0)</formula>
    </cfRule>
  </conditionalFormatting>
  <conditionalFormatting sqref="C87:AG87">
    <cfRule type="expression" dxfId="56" priority="15" stopIfTrue="1">
      <formula>IF($B$87="",1,0)</formula>
    </cfRule>
    <cfRule type="expression" dxfId="55" priority="17" stopIfTrue="1">
      <formula>IF(C$87&lt;&gt;$C$107,1,0)</formula>
    </cfRule>
    <cfRule type="expression" dxfId="54" priority="18" stopIfTrue="1">
      <formula>IF(C$87=$C$107,1,0)</formula>
    </cfRule>
  </conditionalFormatting>
  <conditionalFormatting sqref="C5:AG5">
    <cfRule type="expression" dxfId="53" priority="3">
      <formula>C5="SZ"</formula>
    </cfRule>
  </conditionalFormatting>
  <conditionalFormatting sqref="B5">
    <cfRule type="expression" dxfId="52" priority="1">
      <formula>B$50="WS"</formula>
    </cfRule>
    <cfRule type="expression" dxfId="51" priority="2">
      <formula>B$50="SZ"</formula>
    </cfRule>
  </conditionalFormatting>
  <dataValidations count="1">
    <dataValidation type="list" allowBlank="1" showInputMessage="1" showErrorMessage="1" sqref="B10:B49" xr:uid="{B5A909FE-77FB-446F-A5B3-70527D2DB368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A0CC-1544-4D17-A038-FBA539FB5900}">
  <sheetPr codeName="Dienstplan12">
    <tabColor theme="4"/>
    <pageSetUpPr fitToPage="1"/>
  </sheetPr>
  <dimension ref="A1:BB113"/>
  <sheetViews>
    <sheetView showGridLines="0" zoomScale="70" zoomScaleNormal="70" workbookViewId="0">
      <selection activeCell="C95" sqref="C95:H95"/>
    </sheetView>
  </sheetViews>
  <sheetFormatPr baseColWidth="10" defaultColWidth="11.36328125" defaultRowHeight="17.5" x14ac:dyDescent="0.35"/>
  <cols>
    <col min="1" max="1" width="3" style="62" customWidth="1"/>
    <col min="2" max="2" width="34.81640625" style="2" customWidth="1"/>
    <col min="3" max="33" width="6.90625" style="2" customWidth="1"/>
    <col min="34" max="34" width="13.08984375" style="2" customWidth="1"/>
    <col min="35" max="35" width="13.08984375" style="173" customWidth="1"/>
    <col min="36" max="37" width="8.81640625" style="2" customWidth="1"/>
    <col min="38" max="38" width="14.6328125" style="2" customWidth="1"/>
    <col min="39" max="39" width="8.36328125" style="2" customWidth="1"/>
    <col min="40" max="54" width="11.36328125" style="2" customWidth="1"/>
  </cols>
  <sheetData>
    <row r="1" spans="1:54" ht="67" customHeight="1" thickBot="1" x14ac:dyDescent="0.9">
      <c r="B1" s="122" t="s">
        <v>27</v>
      </c>
      <c r="H1" s="123"/>
      <c r="I1" s="123"/>
      <c r="J1" s="123"/>
      <c r="K1" s="274" t="str">
        <f>"Dienstplan - " &amp; TEXT(DATE(Einstellungen!B3,C95,1),"MMMM")&amp; " " &amp;Einstellungen!B3</f>
        <v>Dienstplan - Dezember 2025</v>
      </c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6"/>
      <c r="Y1" s="123"/>
      <c r="Z1" s="195" t="s">
        <v>103</v>
      </c>
      <c r="AA1" s="123"/>
      <c r="AB1" s="196"/>
      <c r="AC1" s="126" t="s">
        <v>105</v>
      </c>
      <c r="AD1" s="123"/>
    </row>
    <row r="2" spans="1:54" ht="36" customHeight="1" x14ac:dyDescent="0.35">
      <c r="B2" s="124" t="s">
        <v>28</v>
      </c>
      <c r="H2" s="125"/>
      <c r="I2" s="125"/>
      <c r="J2" s="125"/>
      <c r="K2" s="125"/>
      <c r="L2" s="277" t="s">
        <v>107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125"/>
      <c r="Y2" s="125"/>
      <c r="Z2" s="192" t="s">
        <v>104</v>
      </c>
      <c r="AA2" s="125"/>
      <c r="AB2" s="194"/>
      <c r="AC2" s="194" t="s">
        <v>106</v>
      </c>
      <c r="AD2" s="194"/>
      <c r="AE2" s="194"/>
      <c r="AF2" s="194"/>
      <c r="AG2" s="194"/>
    </row>
    <row r="3" spans="1:54" ht="37" hidden="1" customHeight="1" x14ac:dyDescent="0.35">
      <c r="B3" s="124"/>
      <c r="L3" s="278" t="str">
        <f>"1."&amp;C95&amp;"."&amp;Einstellungen!B3</f>
        <v>1.12.2025</v>
      </c>
      <c r="M3" s="278"/>
      <c r="N3" s="278"/>
      <c r="O3" s="278"/>
      <c r="P3" s="278"/>
      <c r="Q3" s="278"/>
      <c r="R3" s="278"/>
      <c r="S3" s="278"/>
    </row>
    <row r="4" spans="1:54" s="222" customFormat="1" ht="50" customHeight="1" x14ac:dyDescent="0.25">
      <c r="A4" s="212"/>
      <c r="B4" s="193" t="s">
        <v>46</v>
      </c>
      <c r="C4" s="213" t="str">
        <f>Einstellungen!E3</f>
        <v>RPR-Putgarten</v>
      </c>
      <c r="D4" s="214"/>
      <c r="E4" s="214"/>
      <c r="F4" s="214"/>
      <c r="G4" s="214"/>
      <c r="H4" s="214"/>
      <c r="I4" s="214"/>
      <c r="J4" s="214"/>
      <c r="K4" s="214"/>
      <c r="L4" s="167"/>
      <c r="M4" s="215"/>
      <c r="N4" s="167"/>
      <c r="O4" s="167"/>
      <c r="P4" s="216"/>
      <c r="Q4" s="167"/>
      <c r="R4" s="167"/>
      <c r="S4" s="167"/>
      <c r="T4" s="214"/>
      <c r="U4" s="214"/>
      <c r="V4" s="214"/>
      <c r="W4" s="217"/>
      <c r="X4" s="214"/>
      <c r="Y4" s="218"/>
      <c r="Z4" s="214"/>
      <c r="AA4" s="214"/>
      <c r="AB4" s="214"/>
      <c r="AC4" s="214"/>
      <c r="AD4" s="214"/>
      <c r="AE4" s="214"/>
      <c r="AF4" s="214"/>
      <c r="AG4" s="214"/>
      <c r="AH4" s="219"/>
      <c r="AI4" s="220"/>
      <c r="AJ4" s="221"/>
      <c r="AK4" s="221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</row>
    <row r="5" spans="1:54" ht="27" customHeight="1" thickBot="1" x14ac:dyDescent="0.5">
      <c r="B5" s="223" t="s">
        <v>98</v>
      </c>
      <c r="C5" s="227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228"/>
      <c r="X5" s="65"/>
      <c r="Y5" s="228"/>
      <c r="Z5" s="65"/>
      <c r="AA5" s="65"/>
      <c r="AB5" s="65"/>
      <c r="AC5" s="65"/>
      <c r="AD5" s="65"/>
      <c r="AE5" s="65"/>
      <c r="AF5" s="65"/>
      <c r="AG5" s="65"/>
      <c r="AJ5" s="127"/>
    </row>
    <row r="6" spans="1:54" s="2" customFormat="1" ht="20" customHeight="1" x14ac:dyDescent="0.35">
      <c r="A6" s="62"/>
      <c r="B6" s="279" t="s">
        <v>45</v>
      </c>
      <c r="C6" s="53">
        <f>IF(MONTH(DATE(YEAR($L$3),MONTH($L$3),COLUMN()-COLUMN($B6)))&gt;MONTH($L$3),"",DATE(YEAR($L$3),MONTH($L$3),COLUMN()-COLUMN($B6)))</f>
        <v>45992</v>
      </c>
      <c r="D6" s="54">
        <f t="shared" ref="D6:AG6" si="0">IF(MONTH(DATE(YEAR($L$3),MONTH($L$3),COLUMN()-COLUMN($B6)))&gt;MONTH($L$3),"",DATE(YEAR($L$3),MONTH($L$3),COLUMN()-COLUMN($B6)))</f>
        <v>45993</v>
      </c>
      <c r="E6" s="54">
        <f t="shared" si="0"/>
        <v>45994</v>
      </c>
      <c r="F6" s="54">
        <f t="shared" si="0"/>
        <v>45995</v>
      </c>
      <c r="G6" s="54">
        <f t="shared" si="0"/>
        <v>45996</v>
      </c>
      <c r="H6" s="54">
        <f t="shared" si="0"/>
        <v>45997</v>
      </c>
      <c r="I6" s="54">
        <f t="shared" si="0"/>
        <v>45998</v>
      </c>
      <c r="J6" s="54">
        <f t="shared" si="0"/>
        <v>45999</v>
      </c>
      <c r="K6" s="54">
        <f t="shared" si="0"/>
        <v>46000</v>
      </c>
      <c r="L6" s="54">
        <f t="shared" si="0"/>
        <v>46001</v>
      </c>
      <c r="M6" s="54">
        <f t="shared" si="0"/>
        <v>46002</v>
      </c>
      <c r="N6" s="54">
        <f t="shared" si="0"/>
        <v>46003</v>
      </c>
      <c r="O6" s="54">
        <f t="shared" si="0"/>
        <v>46004</v>
      </c>
      <c r="P6" s="54">
        <f t="shared" si="0"/>
        <v>46005</v>
      </c>
      <c r="Q6" s="54">
        <f t="shared" si="0"/>
        <v>46006</v>
      </c>
      <c r="R6" s="54">
        <f t="shared" si="0"/>
        <v>46007</v>
      </c>
      <c r="S6" s="54">
        <f t="shared" si="0"/>
        <v>46008</v>
      </c>
      <c r="T6" s="54">
        <f t="shared" si="0"/>
        <v>46009</v>
      </c>
      <c r="U6" s="54">
        <f t="shared" si="0"/>
        <v>46010</v>
      </c>
      <c r="V6" s="54">
        <f t="shared" si="0"/>
        <v>46011</v>
      </c>
      <c r="W6" s="54">
        <f t="shared" si="0"/>
        <v>46012</v>
      </c>
      <c r="X6" s="54">
        <f t="shared" si="0"/>
        <v>46013</v>
      </c>
      <c r="Y6" s="54">
        <f t="shared" si="0"/>
        <v>46014</v>
      </c>
      <c r="Z6" s="54">
        <f t="shared" si="0"/>
        <v>46015</v>
      </c>
      <c r="AA6" s="54">
        <f t="shared" si="0"/>
        <v>46016</v>
      </c>
      <c r="AB6" s="54">
        <f t="shared" si="0"/>
        <v>46017</v>
      </c>
      <c r="AC6" s="54">
        <f t="shared" si="0"/>
        <v>46018</v>
      </c>
      <c r="AD6" s="54">
        <f t="shared" si="0"/>
        <v>46019</v>
      </c>
      <c r="AE6" s="54">
        <f t="shared" si="0"/>
        <v>46020</v>
      </c>
      <c r="AF6" s="54">
        <f t="shared" si="0"/>
        <v>46021</v>
      </c>
      <c r="AG6" s="55">
        <f t="shared" si="0"/>
        <v>46022</v>
      </c>
      <c r="AH6" s="150" t="s">
        <v>100</v>
      </c>
      <c r="AI6" s="174" t="s">
        <v>102</v>
      </c>
      <c r="AJ6" s="281" t="s">
        <v>18</v>
      </c>
      <c r="AK6" s="283" t="s">
        <v>44</v>
      </c>
    </row>
    <row r="7" spans="1:54" s="2" customFormat="1" ht="20" customHeight="1" thickBot="1" x14ac:dyDescent="0.4">
      <c r="A7" s="62"/>
      <c r="B7" s="280"/>
      <c r="C7" s="56">
        <f>IF(MONTH(DATE(YEAR($L$3),MONTH($L$3),COLUMN()-COLUMN($B6)))&gt;MONTH($L$3),"",DATE(YEAR($L$3),MONTH($L$3),COLUMN()-COLUMN($B6)))</f>
        <v>45992</v>
      </c>
      <c r="D7" s="57">
        <f t="shared" ref="D7:AG7" si="1">IF(MONTH(DATE(YEAR($L$3),MONTH($L$3),COLUMN()-COLUMN($B6)))&gt;MONTH($L$3),"",DATE(YEAR($L$3),MONTH($L$3),COLUMN()-COLUMN($B6)))</f>
        <v>45993</v>
      </c>
      <c r="E7" s="57">
        <f t="shared" si="1"/>
        <v>45994</v>
      </c>
      <c r="F7" s="57">
        <f t="shared" si="1"/>
        <v>45995</v>
      </c>
      <c r="G7" s="57">
        <f t="shared" si="1"/>
        <v>45996</v>
      </c>
      <c r="H7" s="57">
        <f t="shared" si="1"/>
        <v>45997</v>
      </c>
      <c r="I7" s="57">
        <f t="shared" si="1"/>
        <v>45998</v>
      </c>
      <c r="J7" s="57">
        <f t="shared" si="1"/>
        <v>45999</v>
      </c>
      <c r="K7" s="57">
        <f t="shared" si="1"/>
        <v>46000</v>
      </c>
      <c r="L7" s="57">
        <f t="shared" si="1"/>
        <v>46001</v>
      </c>
      <c r="M7" s="57">
        <f t="shared" si="1"/>
        <v>46002</v>
      </c>
      <c r="N7" s="57">
        <f t="shared" si="1"/>
        <v>46003</v>
      </c>
      <c r="O7" s="57">
        <f t="shared" si="1"/>
        <v>46004</v>
      </c>
      <c r="P7" s="57">
        <f t="shared" si="1"/>
        <v>46005</v>
      </c>
      <c r="Q7" s="57">
        <f t="shared" si="1"/>
        <v>46006</v>
      </c>
      <c r="R7" s="57">
        <f t="shared" si="1"/>
        <v>46007</v>
      </c>
      <c r="S7" s="57">
        <f t="shared" si="1"/>
        <v>46008</v>
      </c>
      <c r="T7" s="57">
        <f t="shared" si="1"/>
        <v>46009</v>
      </c>
      <c r="U7" s="57">
        <f t="shared" si="1"/>
        <v>46010</v>
      </c>
      <c r="V7" s="57">
        <f t="shared" si="1"/>
        <v>46011</v>
      </c>
      <c r="W7" s="57">
        <f t="shared" si="1"/>
        <v>46012</v>
      </c>
      <c r="X7" s="57">
        <f t="shared" si="1"/>
        <v>46013</v>
      </c>
      <c r="Y7" s="57">
        <f t="shared" si="1"/>
        <v>46014</v>
      </c>
      <c r="Z7" s="57">
        <f t="shared" si="1"/>
        <v>46015</v>
      </c>
      <c r="AA7" s="57">
        <f t="shared" si="1"/>
        <v>46016</v>
      </c>
      <c r="AB7" s="57">
        <f t="shared" si="1"/>
        <v>46017</v>
      </c>
      <c r="AC7" s="57">
        <f t="shared" si="1"/>
        <v>46018</v>
      </c>
      <c r="AD7" s="57">
        <f t="shared" si="1"/>
        <v>46019</v>
      </c>
      <c r="AE7" s="57">
        <f t="shared" si="1"/>
        <v>46020</v>
      </c>
      <c r="AF7" s="57">
        <f t="shared" si="1"/>
        <v>46021</v>
      </c>
      <c r="AG7" s="58">
        <f t="shared" si="1"/>
        <v>46022</v>
      </c>
      <c r="AH7" s="151" t="s">
        <v>101</v>
      </c>
      <c r="AI7" s="175" t="s">
        <v>101</v>
      </c>
      <c r="AJ7" s="282"/>
      <c r="AK7" s="284"/>
    </row>
    <row r="8" spans="1:54" s="9" customFormat="1" ht="25.25" hidden="1" customHeight="1" thickBot="1" x14ac:dyDescent="0.4">
      <c r="A8" s="62"/>
      <c r="B8" s="14" t="s">
        <v>20</v>
      </c>
      <c r="C8" s="45">
        <f>IFERROR(WEEKDAY(C6,2), 0)</f>
        <v>1</v>
      </c>
      <c r="D8" s="45">
        <f>IFERROR(WEEKDAY(D6,2), 0)</f>
        <v>2</v>
      </c>
      <c r="E8" s="45">
        <f t="shared" ref="E8:AG8" si="2">IFERROR(WEEKDAY(E6,2), 0)</f>
        <v>3</v>
      </c>
      <c r="F8" s="45">
        <f t="shared" si="2"/>
        <v>4</v>
      </c>
      <c r="G8" s="45">
        <f t="shared" si="2"/>
        <v>5</v>
      </c>
      <c r="H8" s="45">
        <f t="shared" si="2"/>
        <v>6</v>
      </c>
      <c r="I8" s="45">
        <f t="shared" si="2"/>
        <v>7</v>
      </c>
      <c r="J8" s="45">
        <f t="shared" si="2"/>
        <v>1</v>
      </c>
      <c r="K8" s="45">
        <f t="shared" si="2"/>
        <v>2</v>
      </c>
      <c r="L8" s="45">
        <f t="shared" si="2"/>
        <v>3</v>
      </c>
      <c r="M8" s="45">
        <f t="shared" si="2"/>
        <v>4</v>
      </c>
      <c r="N8" s="45">
        <f t="shared" si="2"/>
        <v>5</v>
      </c>
      <c r="O8" s="45">
        <f t="shared" si="2"/>
        <v>6</v>
      </c>
      <c r="P8" s="45">
        <f t="shared" si="2"/>
        <v>7</v>
      </c>
      <c r="Q8" s="45">
        <f t="shared" si="2"/>
        <v>1</v>
      </c>
      <c r="R8" s="45">
        <f t="shared" si="2"/>
        <v>2</v>
      </c>
      <c r="S8" s="45">
        <f t="shared" si="2"/>
        <v>3</v>
      </c>
      <c r="T8" s="45">
        <f t="shared" si="2"/>
        <v>4</v>
      </c>
      <c r="U8" s="45">
        <f t="shared" si="2"/>
        <v>5</v>
      </c>
      <c r="V8" s="45">
        <f t="shared" si="2"/>
        <v>6</v>
      </c>
      <c r="W8" s="45">
        <f t="shared" si="2"/>
        <v>7</v>
      </c>
      <c r="X8" s="45">
        <f t="shared" si="2"/>
        <v>1</v>
      </c>
      <c r="Y8" s="45">
        <f t="shared" si="2"/>
        <v>2</v>
      </c>
      <c r="Z8" s="45">
        <f t="shared" si="2"/>
        <v>3</v>
      </c>
      <c r="AA8" s="45">
        <f t="shared" si="2"/>
        <v>4</v>
      </c>
      <c r="AB8" s="45">
        <f t="shared" si="2"/>
        <v>5</v>
      </c>
      <c r="AC8" s="45">
        <f t="shared" si="2"/>
        <v>6</v>
      </c>
      <c r="AD8" s="45">
        <f t="shared" si="2"/>
        <v>7</v>
      </c>
      <c r="AE8" s="45">
        <f t="shared" si="2"/>
        <v>1</v>
      </c>
      <c r="AF8" s="45">
        <f t="shared" si="2"/>
        <v>2</v>
      </c>
      <c r="AG8" s="48">
        <f t="shared" si="2"/>
        <v>3</v>
      </c>
      <c r="AH8" s="49"/>
      <c r="AI8" s="176"/>
      <c r="AJ8" s="43"/>
      <c r="AK8" s="5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54" s="9" customFormat="1" ht="25.25" hidden="1" customHeight="1" x14ac:dyDescent="0.35">
      <c r="A9" s="62"/>
      <c r="B9" s="15" t="s">
        <v>21</v>
      </c>
      <c r="C9" s="16" t="str">
        <f>IF(ISNA(VLOOKUP(C$6,Einstellungen!$B$8:$B$22,1,0)),"","FT")</f>
        <v/>
      </c>
      <c r="D9" s="10" t="str">
        <f>IF(ISNA(VLOOKUP(D$6,Einstellungen!$B$8:$B$22,1,0)),"","FT")</f>
        <v/>
      </c>
      <c r="E9" s="10" t="str">
        <f>IF(ISNA(VLOOKUP(E$6,Einstellungen!$B$8:$B$22,1,0)),"","FT")</f>
        <v/>
      </c>
      <c r="F9" s="10" t="str">
        <f>IF(ISNA(VLOOKUP(F$6,Einstellungen!$B$8:$B$22,1,0)),"","FT")</f>
        <v/>
      </c>
      <c r="G9" s="10" t="str">
        <f>IF(ISNA(VLOOKUP(G$6,Einstellungen!$B$8:$B$22,1,0)),"","FT")</f>
        <v/>
      </c>
      <c r="H9" s="10" t="str">
        <f>IF(ISNA(VLOOKUP(H$6,Einstellungen!$B$8:$B$22,1,0)),"","FT")</f>
        <v/>
      </c>
      <c r="I9" s="10" t="str">
        <f>IF(ISNA(VLOOKUP(I$6,Einstellungen!$B$8:$B$22,1,0)),"","FT")</f>
        <v/>
      </c>
      <c r="J9" s="10" t="str">
        <f>IF(ISNA(VLOOKUP(J$6,Einstellungen!$B$8:$B$22,1,0)),"","FT")</f>
        <v/>
      </c>
      <c r="K9" s="10" t="str">
        <f>IF(ISNA(VLOOKUP(K$6,Einstellungen!$B$8:$B$22,1,0)),"","FT")</f>
        <v/>
      </c>
      <c r="L9" s="10" t="str">
        <f>IF(ISNA(VLOOKUP(L$6,Einstellungen!$B$8:$B$22,1,0)),"","FT")</f>
        <v/>
      </c>
      <c r="M9" s="10" t="str">
        <f>IF(ISNA(VLOOKUP(M$6,Einstellungen!$B$8:$B$22,1,0)),"","FT")</f>
        <v/>
      </c>
      <c r="N9" s="10" t="str">
        <f>IF(ISNA(VLOOKUP(N$6,Einstellungen!$B$8:$B$22,1,0)),"","FT")</f>
        <v/>
      </c>
      <c r="O9" s="10" t="str">
        <f>IF(ISNA(VLOOKUP(O$6,Einstellungen!$B$8:$B$22,1,0)),"","FT")</f>
        <v/>
      </c>
      <c r="P9" s="10" t="str">
        <f>IF(ISNA(VLOOKUP(P$6,Einstellungen!$B$8:$B$22,1,0)),"","FT")</f>
        <v/>
      </c>
      <c r="Q9" s="10" t="str">
        <f>IF(ISNA(VLOOKUP(Q$6,Einstellungen!$B$8:$B$22,1,0)),"","FT")</f>
        <v/>
      </c>
      <c r="R9" s="10" t="str">
        <f>IF(ISNA(VLOOKUP(R$6,Einstellungen!$B$8:$B$22,1,0)),"","FT")</f>
        <v/>
      </c>
      <c r="S9" s="10" t="str">
        <f>IF(ISNA(VLOOKUP(S$6,Einstellungen!$B$8:$B$22,1,0)),"","FT")</f>
        <v/>
      </c>
      <c r="T9" s="10" t="str">
        <f>IF(ISNA(VLOOKUP(T$6,Einstellungen!$B$8:$B$22,1,0)),"","FT")</f>
        <v/>
      </c>
      <c r="U9" s="10" t="str">
        <f>IF(ISNA(VLOOKUP(U$6,Einstellungen!$B$8:$B$22,1,0)),"","FT")</f>
        <v/>
      </c>
      <c r="V9" s="10" t="str">
        <f>IF(ISNA(VLOOKUP(V$6,Einstellungen!$B$8:$B$22,1,0)),"","FT")</f>
        <v/>
      </c>
      <c r="W9" s="10" t="str">
        <f>IF(ISNA(VLOOKUP(W$6,Einstellungen!$B$8:$B$22,1,0)),"","FT")</f>
        <v/>
      </c>
      <c r="X9" s="10" t="str">
        <f>IF(ISNA(VLOOKUP(X$6,Einstellungen!$B$8:$B$22,1,0)),"","FT")</f>
        <v/>
      </c>
      <c r="Y9" s="10" t="str">
        <f>IF(ISNA(VLOOKUP(Y$6,Einstellungen!$B$8:$B$22,1,0)),"","FT")</f>
        <v/>
      </c>
      <c r="Z9" s="10" t="str">
        <f>IF(ISNA(VLOOKUP(Z$6,Einstellungen!$B$8:$B$22,1,0)),"","FT")</f>
        <v/>
      </c>
      <c r="AA9" s="10" t="str">
        <f>IF(ISNA(VLOOKUP(AA$6,Einstellungen!$B$8:$B$22,1,0)),"","FT")</f>
        <v>FT</v>
      </c>
      <c r="AB9" s="10" t="str">
        <f>IF(ISNA(VLOOKUP(AB$6,Einstellungen!$B$8:$B$22,1,0)),"","FT")</f>
        <v>FT</v>
      </c>
      <c r="AC9" s="10" t="str">
        <f>IF(ISNA(VLOOKUP(AC$6,Einstellungen!$B$8:$B$22,1,0)),"","FT")</f>
        <v/>
      </c>
      <c r="AD9" s="10" t="str">
        <f>IF(ISNA(VLOOKUP(AD$6,Einstellungen!$B$8:$B$22,1,0)),"","FT")</f>
        <v/>
      </c>
      <c r="AE9" s="10" t="str">
        <f>IF(ISNA(VLOOKUP(AE$6,Einstellungen!$B$8:$B$22,1,0)),"","FT")</f>
        <v/>
      </c>
      <c r="AF9" s="10" t="str">
        <f>IF(ISNA(VLOOKUP(AF$6,Einstellungen!$B$8:$B$22,1,0)),"","FT")</f>
        <v/>
      </c>
      <c r="AG9" s="34" t="str">
        <f>IF(ISNA(VLOOKUP(AG$6,Einstellungen!$B$8:$B$22,1,0)),"","FT")</f>
        <v/>
      </c>
      <c r="AH9" s="35"/>
      <c r="AI9" s="177"/>
      <c r="AJ9" s="44"/>
      <c r="AK9" s="5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54" s="2" customFormat="1" ht="30" customHeight="1" x14ac:dyDescent="0.35">
      <c r="A10" s="59">
        <f>IF(B10="","",VLOOKUP(B10,Einstellungen!$E$9:$F$99,2,FALSE))</f>
        <v>111</v>
      </c>
      <c r="B10" s="31" t="s">
        <v>72</v>
      </c>
      <c r="C10" s="155"/>
      <c r="D10" s="156"/>
      <c r="E10" s="156"/>
      <c r="F10" s="156"/>
      <c r="G10" s="156"/>
      <c r="H10" s="156"/>
      <c r="I10" s="156"/>
      <c r="J10" s="156"/>
      <c r="K10" s="156"/>
      <c r="L10" s="156" t="s">
        <v>65</v>
      </c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7"/>
      <c r="AH10" s="93" t="str" cm="1">
        <f t="array" ref="AH10">IF(SUMPRODUCT(ISNUMBER(MATCH($C10:$AG10, Tagschichten, 0)) * 1)=0, "", SUMPRODUCT(ISNUMBER(MATCH($C10:$AG10, Tagschichten, 0)) * 1))</f>
        <v/>
      </c>
      <c r="AI10" s="178">
        <f>IF(ISNUMBER(AH10),AH10*24,0)</f>
        <v>0</v>
      </c>
      <c r="AJ10" s="168">
        <f>COUNTIF($C10:$AG10,"U")</f>
        <v>0</v>
      </c>
      <c r="AK10" s="169">
        <f>COUNTIF($C10:$AG10, "K")</f>
        <v>0</v>
      </c>
      <c r="AN10" s="2">
        <v>0</v>
      </c>
      <c r="AO10" s="2">
        <f t="shared" ref="AO10:AO24" si="3">COUNTIF(C10:AM10,"U")</f>
        <v>0</v>
      </c>
      <c r="AP10" s="2">
        <f t="shared" ref="AP10:AP24" si="4">AN10 - AO10</f>
        <v>0</v>
      </c>
    </row>
    <row r="11" spans="1:54" s="2" customFormat="1" ht="30" customHeight="1" x14ac:dyDescent="0.35">
      <c r="A11" s="59">
        <f>IF(B11="","",VLOOKUP(B11,Einstellungen!$E$9:$F$99,2,FALSE))</f>
        <v>222</v>
      </c>
      <c r="B11" s="128" t="s">
        <v>73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60"/>
      <c r="AH11" s="93" cm="1">
        <f t="array" ref="AH11">SUMPRODUCT(ISNUMBER(MATCH($C11:$AG11, Tagschichten, 0)) * 1)</f>
        <v>0</v>
      </c>
      <c r="AI11" s="178">
        <f t="shared" ref="AI11:AI49" si="5">IF(ISNUMBER(AH11),AH11*24,0)</f>
        <v>0</v>
      </c>
      <c r="AJ11" s="168">
        <f t="shared" ref="AJ11:AJ49" si="6">COUNTIF($C11:$AG11,"U")</f>
        <v>0</v>
      </c>
      <c r="AK11" s="169">
        <f t="shared" ref="AK11:AK24" si="7">COUNTIF($C11:$AG11, "K")</f>
        <v>0</v>
      </c>
      <c r="AN11" s="2">
        <v>0</v>
      </c>
      <c r="AO11" s="2">
        <f t="shared" si="3"/>
        <v>0</v>
      </c>
      <c r="AP11" s="2">
        <f t="shared" si="4"/>
        <v>0</v>
      </c>
    </row>
    <row r="12" spans="1:54" s="2" customFormat="1" ht="30" customHeight="1" x14ac:dyDescent="0.35">
      <c r="A12" s="59" t="str">
        <f>IF(B12="","",VLOOKUP(B12,Einstellungen!$E$9:$F$99,2,FALSE))</f>
        <v>333</v>
      </c>
      <c r="B12" s="128" t="s">
        <v>74</v>
      </c>
      <c r="C12" s="158"/>
      <c r="D12" s="159"/>
      <c r="E12" s="159"/>
      <c r="F12" s="159"/>
      <c r="G12" s="16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60"/>
      <c r="AH12" s="93" cm="1">
        <f t="array" ref="AH12">SUMPRODUCT(ISNUMBER(MATCH($C12:$AG12, Tagschichten, 0)) * 1)</f>
        <v>0</v>
      </c>
      <c r="AI12" s="178">
        <f t="shared" si="5"/>
        <v>0</v>
      </c>
      <c r="AJ12" s="168">
        <f t="shared" si="6"/>
        <v>0</v>
      </c>
      <c r="AK12" s="169">
        <f t="shared" si="7"/>
        <v>0</v>
      </c>
      <c r="AN12" s="2">
        <v>0</v>
      </c>
      <c r="AO12" s="2">
        <f t="shared" si="3"/>
        <v>0</v>
      </c>
      <c r="AP12" s="2">
        <f t="shared" si="4"/>
        <v>0</v>
      </c>
    </row>
    <row r="13" spans="1:54" s="2" customFormat="1" ht="30" customHeight="1" x14ac:dyDescent="0.35">
      <c r="A13" s="59">
        <f>IF(B13="","",VLOOKUP(B13,Einstellungen!$E$9:$F$99,2,FALSE))</f>
        <v>444</v>
      </c>
      <c r="B13" s="128" t="s">
        <v>75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60"/>
      <c r="AH13" s="93" cm="1">
        <f t="array" ref="AH13">SUMPRODUCT(ISNUMBER(MATCH($C13:$AG13, Tagschichten, 0)) * 1)</f>
        <v>0</v>
      </c>
      <c r="AI13" s="178">
        <f t="shared" si="5"/>
        <v>0</v>
      </c>
      <c r="AJ13" s="168">
        <f t="shared" si="6"/>
        <v>0</v>
      </c>
      <c r="AK13" s="169">
        <f t="shared" si="7"/>
        <v>0</v>
      </c>
      <c r="AN13" s="2">
        <v>0</v>
      </c>
      <c r="AO13" s="2">
        <f t="shared" si="3"/>
        <v>0</v>
      </c>
      <c r="AP13" s="2">
        <f t="shared" si="4"/>
        <v>0</v>
      </c>
    </row>
    <row r="14" spans="1:54" s="2" customFormat="1" ht="30" customHeight="1" x14ac:dyDescent="0.35">
      <c r="A14" s="59">
        <f>IF(B14="","",VLOOKUP(B14,Einstellungen!$E$9:$F$99,2,FALSE))</f>
        <v>555</v>
      </c>
      <c r="B14" s="128" t="s">
        <v>76</v>
      </c>
      <c r="C14" s="158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60"/>
      <c r="AH14" s="93" cm="1">
        <f t="array" ref="AH14">SUMPRODUCT(ISNUMBER(MATCH($C14:$AG14, Tagschichten, 0)) * 1)</f>
        <v>0</v>
      </c>
      <c r="AI14" s="178">
        <f t="shared" si="5"/>
        <v>0</v>
      </c>
      <c r="AJ14" s="168">
        <f t="shared" si="6"/>
        <v>0</v>
      </c>
      <c r="AK14" s="169">
        <f t="shared" si="7"/>
        <v>0</v>
      </c>
      <c r="AN14" s="2">
        <v>10</v>
      </c>
      <c r="AO14" s="2">
        <f t="shared" si="3"/>
        <v>0</v>
      </c>
      <c r="AP14" s="2">
        <f t="shared" si="4"/>
        <v>10</v>
      </c>
    </row>
    <row r="15" spans="1:54" s="2" customFormat="1" ht="30" customHeight="1" x14ac:dyDescent="0.35">
      <c r="A15" s="59">
        <f>IF(B15="","",VLOOKUP(B15,Einstellungen!$E$9:$F$99,2,FALSE))</f>
        <v>666</v>
      </c>
      <c r="B15" s="128" t="s">
        <v>77</v>
      </c>
      <c r="C15" s="158"/>
      <c r="D15" s="159"/>
      <c r="E15" s="159"/>
      <c r="F15" s="159"/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60"/>
      <c r="AH15" s="93" cm="1">
        <f t="array" ref="AH15">SUMPRODUCT(ISNUMBER(MATCH($C15:$AG15, Tagschichten, 0)) * 1)</f>
        <v>0</v>
      </c>
      <c r="AI15" s="178">
        <f t="shared" si="5"/>
        <v>0</v>
      </c>
      <c r="AJ15" s="168">
        <f t="shared" si="6"/>
        <v>0</v>
      </c>
      <c r="AK15" s="169">
        <f t="shared" si="7"/>
        <v>0</v>
      </c>
      <c r="AN15" s="2">
        <v>0</v>
      </c>
      <c r="AO15" s="2">
        <f t="shared" si="3"/>
        <v>0</v>
      </c>
      <c r="AP15" s="2">
        <f t="shared" si="4"/>
        <v>0</v>
      </c>
    </row>
    <row r="16" spans="1:54" s="2" customFormat="1" ht="30" customHeight="1" x14ac:dyDescent="0.35">
      <c r="A16" s="59">
        <f>IF(B16="","",VLOOKUP(B16,Einstellungen!$E$9:$F$99,2,FALSE))</f>
        <v>777</v>
      </c>
      <c r="B16" s="128" t="s">
        <v>78</v>
      </c>
      <c r="C16" s="158"/>
      <c r="D16" s="159"/>
      <c r="E16" s="159"/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60"/>
      <c r="AH16" s="93" cm="1">
        <f t="array" ref="AH16">SUMPRODUCT(ISNUMBER(MATCH($C16:$AG16, Tagschichten, 0)) * 1)</f>
        <v>0</v>
      </c>
      <c r="AI16" s="178">
        <f t="shared" si="5"/>
        <v>0</v>
      </c>
      <c r="AJ16" s="168">
        <f t="shared" si="6"/>
        <v>0</v>
      </c>
      <c r="AK16" s="169">
        <f t="shared" si="7"/>
        <v>0</v>
      </c>
      <c r="AN16" s="2">
        <v>0</v>
      </c>
      <c r="AO16" s="2">
        <f t="shared" si="3"/>
        <v>0</v>
      </c>
      <c r="AP16" s="2">
        <f t="shared" si="4"/>
        <v>0</v>
      </c>
    </row>
    <row r="17" spans="1:42" s="2" customFormat="1" ht="30" customHeight="1" x14ac:dyDescent="0.35">
      <c r="A17" s="59">
        <f>IF(B17="","",VLOOKUP(B17,Einstellungen!$E$9:$F$99,2,FALSE))</f>
        <v>888</v>
      </c>
      <c r="B17" s="128" t="s">
        <v>79</v>
      </c>
      <c r="C17" s="158"/>
      <c r="D17" s="159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60"/>
      <c r="AH17" s="93" cm="1">
        <f t="array" ref="AH17">SUMPRODUCT(ISNUMBER(MATCH($C17:$AG17, Tagschichten, 0)) * 1)</f>
        <v>0</v>
      </c>
      <c r="AI17" s="178">
        <f t="shared" si="5"/>
        <v>0</v>
      </c>
      <c r="AJ17" s="168">
        <f t="shared" si="6"/>
        <v>0</v>
      </c>
      <c r="AK17" s="169">
        <f t="shared" si="7"/>
        <v>0</v>
      </c>
      <c r="AN17" s="2">
        <v>0</v>
      </c>
      <c r="AO17" s="2">
        <f t="shared" si="3"/>
        <v>0</v>
      </c>
      <c r="AP17" s="2">
        <f t="shared" si="4"/>
        <v>0</v>
      </c>
    </row>
    <row r="18" spans="1:42" s="2" customFormat="1" ht="30" customHeight="1" x14ac:dyDescent="0.35">
      <c r="A18" s="59">
        <f>IF(B18="","",VLOOKUP(B18,Einstellungen!$E$9:$F$99,2,FALSE))</f>
        <v>999</v>
      </c>
      <c r="B18" s="128" t="s">
        <v>80</v>
      </c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60"/>
      <c r="AH18" s="93" cm="1">
        <f t="array" ref="AH18">SUMPRODUCT(ISNUMBER(MATCH($C18:$AG18, Tagschichten, 0)) * 1)</f>
        <v>0</v>
      </c>
      <c r="AI18" s="178">
        <f t="shared" si="5"/>
        <v>0</v>
      </c>
      <c r="AJ18" s="168">
        <f t="shared" si="6"/>
        <v>0</v>
      </c>
      <c r="AK18" s="169">
        <f t="shared" si="7"/>
        <v>0</v>
      </c>
      <c r="AN18" s="2">
        <v>0</v>
      </c>
      <c r="AO18" s="2">
        <f t="shared" si="3"/>
        <v>0</v>
      </c>
      <c r="AP18" s="2">
        <f t="shared" si="4"/>
        <v>0</v>
      </c>
    </row>
    <row r="19" spans="1:42" s="2" customFormat="1" ht="30" customHeight="1" x14ac:dyDescent="0.35">
      <c r="A19" s="59">
        <f>IF(B19="","",VLOOKUP(B19,Einstellungen!$E$9:$F$99,2,FALSE))</f>
        <v>123</v>
      </c>
      <c r="B19" s="128" t="s">
        <v>81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60"/>
      <c r="AH19" s="93" cm="1">
        <f t="array" ref="AH19">SUMPRODUCT(ISNUMBER(MATCH($C19:$AG19, Tagschichten, 0)) * 1)</f>
        <v>0</v>
      </c>
      <c r="AI19" s="178">
        <f t="shared" si="5"/>
        <v>0</v>
      </c>
      <c r="AJ19" s="168">
        <f t="shared" si="6"/>
        <v>0</v>
      </c>
      <c r="AK19" s="169">
        <f t="shared" si="7"/>
        <v>0</v>
      </c>
      <c r="AN19" s="2">
        <v>0</v>
      </c>
      <c r="AO19" s="2">
        <f t="shared" si="3"/>
        <v>0</v>
      </c>
      <c r="AP19" s="2">
        <f t="shared" si="4"/>
        <v>0</v>
      </c>
    </row>
    <row r="20" spans="1:42" s="2" customFormat="1" ht="30" customHeight="1" x14ac:dyDescent="0.35">
      <c r="A20" s="59">
        <f>IF(B20="","",VLOOKUP(B20,Einstellungen!$E$9:$F$99,2,FALSE))</f>
        <v>234</v>
      </c>
      <c r="B20" s="128" t="s">
        <v>82</v>
      </c>
      <c r="C20" s="158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60"/>
      <c r="AH20" s="93" cm="1">
        <f t="array" ref="AH20">SUMPRODUCT(ISNUMBER(MATCH($C20:$AG20, Tagschichten, 0)) * 1)</f>
        <v>0</v>
      </c>
      <c r="AI20" s="178">
        <f t="shared" si="5"/>
        <v>0</v>
      </c>
      <c r="AJ20" s="168">
        <f t="shared" si="6"/>
        <v>0</v>
      </c>
      <c r="AK20" s="169">
        <f t="shared" si="7"/>
        <v>0</v>
      </c>
      <c r="AN20" s="2">
        <v>0</v>
      </c>
      <c r="AO20" s="2">
        <f t="shared" si="3"/>
        <v>0</v>
      </c>
      <c r="AP20" s="2">
        <f t="shared" si="4"/>
        <v>0</v>
      </c>
    </row>
    <row r="21" spans="1:42" s="2" customFormat="1" ht="30" customHeight="1" x14ac:dyDescent="0.35">
      <c r="A21" s="59">
        <f>IF(B21="","",VLOOKUP(B21,Einstellungen!$E$9:$F$99,2,FALSE))</f>
        <v>345</v>
      </c>
      <c r="B21" s="128" t="s">
        <v>83</v>
      </c>
      <c r="C21" s="158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60"/>
      <c r="AH21" s="93" cm="1">
        <f t="array" ref="AH21">SUMPRODUCT(ISNUMBER(MATCH($C21:$AG21, Tagschichten, 0)) * 1)</f>
        <v>0</v>
      </c>
      <c r="AI21" s="178">
        <f t="shared" si="5"/>
        <v>0</v>
      </c>
      <c r="AJ21" s="168">
        <f t="shared" si="6"/>
        <v>0</v>
      </c>
      <c r="AK21" s="169">
        <f t="shared" si="7"/>
        <v>0</v>
      </c>
      <c r="AN21" s="2">
        <v>0</v>
      </c>
      <c r="AO21" s="2">
        <f t="shared" si="3"/>
        <v>0</v>
      </c>
      <c r="AP21" s="2">
        <f t="shared" si="4"/>
        <v>0</v>
      </c>
    </row>
    <row r="22" spans="1:42" s="2" customFormat="1" ht="30" customHeight="1" x14ac:dyDescent="0.35">
      <c r="A22" s="59">
        <f>IF(B22="","",VLOOKUP(B22,Einstellungen!$E$9:$F$99,2,FALSE))</f>
        <v>456</v>
      </c>
      <c r="B22" s="128" t="s">
        <v>84</v>
      </c>
      <c r="C22" s="158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60"/>
      <c r="AH22" s="93" cm="1">
        <f t="array" ref="AH22">SUMPRODUCT(ISNUMBER(MATCH($C22:$AG22, Tagschichten, 0)) * 1)</f>
        <v>0</v>
      </c>
      <c r="AI22" s="178">
        <f t="shared" si="5"/>
        <v>0</v>
      </c>
      <c r="AJ22" s="168">
        <f t="shared" si="6"/>
        <v>0</v>
      </c>
      <c r="AK22" s="169">
        <f t="shared" si="7"/>
        <v>0</v>
      </c>
      <c r="AN22" s="2">
        <v>0</v>
      </c>
      <c r="AO22" s="2">
        <f t="shared" si="3"/>
        <v>0</v>
      </c>
      <c r="AP22" s="2">
        <f t="shared" si="4"/>
        <v>0</v>
      </c>
    </row>
    <row r="23" spans="1:42" s="2" customFormat="1" ht="30" customHeight="1" x14ac:dyDescent="0.35">
      <c r="A23" s="59">
        <f>IF(B23="","",VLOOKUP(B23,Einstellungen!$E$9:$F$99,2,FALSE))</f>
        <v>567</v>
      </c>
      <c r="B23" s="128" t="s">
        <v>85</v>
      </c>
      <c r="C23" s="158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60"/>
      <c r="AH23" s="93" cm="1">
        <f t="array" ref="AH23">SUMPRODUCT(ISNUMBER(MATCH($C23:$AG23, Tagschichten, 0)) * 1)</f>
        <v>0</v>
      </c>
      <c r="AI23" s="178">
        <f t="shared" si="5"/>
        <v>0</v>
      </c>
      <c r="AJ23" s="168">
        <f t="shared" si="6"/>
        <v>0</v>
      </c>
      <c r="AK23" s="169">
        <f t="shared" si="7"/>
        <v>0</v>
      </c>
      <c r="AN23" s="2">
        <v>0</v>
      </c>
      <c r="AO23" s="2">
        <f t="shared" si="3"/>
        <v>0</v>
      </c>
      <c r="AP23" s="2">
        <f t="shared" si="4"/>
        <v>0</v>
      </c>
    </row>
    <row r="24" spans="1:42" s="2" customFormat="1" ht="30" customHeight="1" x14ac:dyDescent="0.35">
      <c r="A24" s="59" t="str">
        <f>IF(B24="","",VLOOKUP(B24,Einstellungen!$E$9:$F$99,2,FALSE))</f>
        <v>678</v>
      </c>
      <c r="B24" s="128" t="s">
        <v>86</v>
      </c>
      <c r="C24" s="158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60"/>
      <c r="AH24" s="93" cm="1">
        <f t="array" ref="AH24">SUMPRODUCT(ISNUMBER(MATCH($C24:$AG24, Tagschichten, 0)) * 1)</f>
        <v>0</v>
      </c>
      <c r="AI24" s="178">
        <f t="shared" si="5"/>
        <v>0</v>
      </c>
      <c r="AJ24" s="168">
        <f t="shared" si="6"/>
        <v>0</v>
      </c>
      <c r="AK24" s="169">
        <f t="shared" si="7"/>
        <v>0</v>
      </c>
      <c r="AN24" s="2">
        <v>0</v>
      </c>
      <c r="AO24" s="2">
        <f t="shared" si="3"/>
        <v>0</v>
      </c>
      <c r="AP24" s="2">
        <f t="shared" si="4"/>
        <v>0</v>
      </c>
    </row>
    <row r="25" spans="1:42" s="2" customFormat="1" ht="30" customHeight="1" x14ac:dyDescent="0.35">
      <c r="A25" s="59" t="str">
        <f>IF(B25="","",VLOOKUP(B25,Einstellungen!$E$9:$F$99,2,FALSE))</f>
        <v/>
      </c>
      <c r="B25" s="128"/>
      <c r="C25" s="158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60"/>
      <c r="AH25" s="93" cm="1">
        <f t="array" ref="AH25">SUMPRODUCT(ISNUMBER(MATCH($C25:$AG25, Tagschichten, 0)) * 1)</f>
        <v>0</v>
      </c>
      <c r="AI25" s="178">
        <f t="shared" si="5"/>
        <v>0</v>
      </c>
      <c r="AJ25" s="168">
        <f t="shared" si="6"/>
        <v>0</v>
      </c>
      <c r="AK25" s="169"/>
    </row>
    <row r="26" spans="1:42" s="2" customFormat="1" ht="30" customHeight="1" x14ac:dyDescent="0.35">
      <c r="A26" s="59">
        <f>IF(B26="","",VLOOKUP(B26,Einstellungen!$E$9:$F$99,2,FALSE))</f>
        <v>789</v>
      </c>
      <c r="B26" s="128" t="s">
        <v>87</v>
      </c>
      <c r="C26" s="15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60"/>
      <c r="AH26" s="93" cm="1">
        <f t="array" ref="AH26">SUMPRODUCT(ISNUMBER(MATCH($C26:$AG26, Tagschichten, 0)) * 1)</f>
        <v>0</v>
      </c>
      <c r="AI26" s="178">
        <f t="shared" si="5"/>
        <v>0</v>
      </c>
      <c r="AJ26" s="168">
        <f t="shared" si="6"/>
        <v>0</v>
      </c>
      <c r="AK26" s="169">
        <f t="shared" ref="AK26" si="8">COUNTIF($C26:$AG26, "K")</f>
        <v>0</v>
      </c>
      <c r="AN26" s="2">
        <v>0</v>
      </c>
      <c r="AO26" s="2">
        <f>COUNTIF(C26:AM26,"U")</f>
        <v>0</v>
      </c>
      <c r="AP26" s="2">
        <f>AN26 - AO26</f>
        <v>0</v>
      </c>
    </row>
    <row r="27" spans="1:42" s="2" customFormat="1" ht="30" customHeight="1" x14ac:dyDescent="0.35">
      <c r="A27" s="59" t="str">
        <f>IF(B27="","",VLOOKUP(B27,Einstellungen!$E$9:$F$99,2,FALSE))</f>
        <v/>
      </c>
      <c r="B27" s="128"/>
      <c r="C27" s="158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60"/>
      <c r="AH27" s="93" cm="1">
        <f t="array" ref="AH27">SUMPRODUCT(ISNUMBER(MATCH($C27:$AG27, Tagschichten, 0)) * 1)</f>
        <v>0</v>
      </c>
      <c r="AI27" s="178">
        <f t="shared" si="5"/>
        <v>0</v>
      </c>
      <c r="AJ27" s="168">
        <f t="shared" si="6"/>
        <v>0</v>
      </c>
      <c r="AK27" s="169"/>
    </row>
    <row r="28" spans="1:42" s="2" customFormat="1" ht="30" customHeight="1" x14ac:dyDescent="0.35">
      <c r="A28" s="59" t="str">
        <f>IF(B28="","",VLOOKUP(B28,Einstellungen!$E$9:$F$99,2,FALSE))</f>
        <v/>
      </c>
      <c r="B28" s="128"/>
      <c r="C28" s="15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60"/>
      <c r="AH28" s="93" cm="1">
        <f t="array" ref="AH28">SUMPRODUCT(ISNUMBER(MATCH($C28:$AG28, Tagschichten, 0)) * 1)</f>
        <v>0</v>
      </c>
      <c r="AI28" s="178">
        <f t="shared" si="5"/>
        <v>0</v>
      </c>
      <c r="AJ28" s="168">
        <f t="shared" si="6"/>
        <v>0</v>
      </c>
      <c r="AK28" s="169"/>
    </row>
    <row r="29" spans="1:42" s="2" customFormat="1" ht="30" customHeight="1" x14ac:dyDescent="0.35">
      <c r="A29" s="59" t="str">
        <f>IF(B29="","",VLOOKUP(B29,Einstellungen!$E$9:$F$99,2,FALSE))</f>
        <v/>
      </c>
      <c r="B29" s="128"/>
      <c r="C29" s="158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60"/>
      <c r="AH29" s="93" cm="1">
        <f t="array" ref="AH29">SUMPRODUCT(ISNUMBER(MATCH($C29:$AG29, Tagschichten, 0)) * 1)</f>
        <v>0</v>
      </c>
      <c r="AI29" s="178">
        <f t="shared" si="5"/>
        <v>0</v>
      </c>
      <c r="AJ29" s="168">
        <f t="shared" si="6"/>
        <v>0</v>
      </c>
      <c r="AK29" s="169"/>
    </row>
    <row r="30" spans="1:42" s="2" customFormat="1" ht="30" customHeight="1" x14ac:dyDescent="0.35">
      <c r="A30" s="59" t="str">
        <f>IF(B30="","",VLOOKUP(B30,Einstellungen!$E$9:$F$99,2,FALSE))</f>
        <v/>
      </c>
      <c r="B30" s="128"/>
      <c r="C30" s="158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60"/>
      <c r="AH30" s="93" cm="1">
        <f t="array" ref="AH30">SUMPRODUCT(ISNUMBER(MATCH($C30:$AG30, Tagschichten, 0)) * 1)</f>
        <v>0</v>
      </c>
      <c r="AI30" s="178">
        <f t="shared" si="5"/>
        <v>0</v>
      </c>
      <c r="AJ30" s="168">
        <f t="shared" si="6"/>
        <v>0</v>
      </c>
      <c r="AK30" s="169"/>
    </row>
    <row r="31" spans="1:42" s="2" customFormat="1" ht="30" customHeight="1" x14ac:dyDescent="0.35">
      <c r="A31" s="59" t="str">
        <f>IF(B31="","",VLOOKUP(B31,Einstellungen!$E$9:$F$99,2,FALSE))</f>
        <v/>
      </c>
      <c r="B31" s="128"/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60"/>
      <c r="AH31" s="93" cm="1">
        <f t="array" ref="AH31">SUMPRODUCT(ISNUMBER(MATCH($C31:$AG31, Tagschichten, 0)) * 1)</f>
        <v>0</v>
      </c>
      <c r="AI31" s="178">
        <f t="shared" si="5"/>
        <v>0</v>
      </c>
      <c r="AJ31" s="168">
        <f t="shared" si="6"/>
        <v>0</v>
      </c>
      <c r="AK31" s="169"/>
    </row>
    <row r="32" spans="1:42" s="2" customFormat="1" ht="30" customHeight="1" x14ac:dyDescent="0.35">
      <c r="A32" s="59" t="str">
        <f>IF(B32="","",VLOOKUP(B32,Einstellungen!$E$9:$F$99,2,FALSE))</f>
        <v/>
      </c>
      <c r="B32" s="128"/>
      <c r="C32" s="158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60"/>
      <c r="AH32" s="93" cm="1">
        <f t="array" ref="AH32">SUMPRODUCT(ISNUMBER(MATCH($C32:$AG32, Tagschichten, 0)) * 1)</f>
        <v>0</v>
      </c>
      <c r="AI32" s="178">
        <f t="shared" si="5"/>
        <v>0</v>
      </c>
      <c r="AJ32" s="168">
        <f t="shared" si="6"/>
        <v>0</v>
      </c>
      <c r="AK32" s="169"/>
    </row>
    <row r="33" spans="1:37" s="2" customFormat="1" ht="30" customHeight="1" x14ac:dyDescent="0.35">
      <c r="A33" s="59" t="str">
        <f>IF(B33="","",VLOOKUP(B33,Einstellungen!$E$9:$F$99,2,FALSE))</f>
        <v/>
      </c>
      <c r="B33" s="128"/>
      <c r="C33" s="158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60"/>
      <c r="AH33" s="93" cm="1">
        <f t="array" ref="AH33">SUMPRODUCT(ISNUMBER(MATCH($C33:$AG33, Tagschichten, 0)) * 1)</f>
        <v>0</v>
      </c>
      <c r="AI33" s="178">
        <f t="shared" si="5"/>
        <v>0</v>
      </c>
      <c r="AJ33" s="168">
        <f t="shared" si="6"/>
        <v>0</v>
      </c>
      <c r="AK33" s="169"/>
    </row>
    <row r="34" spans="1:37" s="2" customFormat="1" ht="30" customHeight="1" thickBot="1" x14ac:dyDescent="0.4">
      <c r="A34" s="59" t="str">
        <f>IF(B34="","",VLOOKUP(B34,Einstellungen!$E$9:$F$99,2,FALSE))</f>
        <v/>
      </c>
      <c r="B34" s="12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60"/>
      <c r="AH34" s="93" cm="1">
        <f t="array" ref="AH34">SUMPRODUCT(ISNUMBER(MATCH($C34:$AG34, Tagschichten, 0)) * 1)</f>
        <v>0</v>
      </c>
      <c r="AI34" s="178">
        <f t="shared" si="5"/>
        <v>0</v>
      </c>
      <c r="AJ34" s="168">
        <f t="shared" si="6"/>
        <v>0</v>
      </c>
      <c r="AK34" s="169"/>
    </row>
    <row r="35" spans="1:37" s="2" customFormat="1" ht="30" hidden="1" customHeight="1" x14ac:dyDescent="0.35">
      <c r="A35" s="59" t="str">
        <f>IF(B35="","",VLOOKUP(B35,Einstellungen!$E$9:$F$99,2,FALSE))</f>
        <v/>
      </c>
      <c r="B35" s="32"/>
      <c r="C35" s="158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60"/>
      <c r="AH35" s="93" cm="1">
        <f t="array" ref="AH35">SUMPRODUCT(ISNUMBER(MATCH($C35:$AG35, Tagschichten, 0)) * 1)</f>
        <v>0</v>
      </c>
      <c r="AI35" s="178">
        <f t="shared" si="5"/>
        <v>0</v>
      </c>
      <c r="AJ35" s="168">
        <f t="shared" si="6"/>
        <v>0</v>
      </c>
      <c r="AK35" s="169"/>
    </row>
    <row r="36" spans="1:37" s="2" customFormat="1" ht="30" hidden="1" customHeight="1" x14ac:dyDescent="0.35">
      <c r="A36" s="59" t="str">
        <f>IF(B36="","",VLOOKUP(B36,Einstellungen!$E$9:$F$99,2,FALSE))</f>
        <v/>
      </c>
      <c r="B36" s="32"/>
      <c r="C36" s="158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60"/>
      <c r="AH36" s="93" cm="1">
        <f t="array" ref="AH36">SUMPRODUCT(ISNUMBER(MATCH($C36:$AG36, Tagschichten, 0)) * 1)</f>
        <v>0</v>
      </c>
      <c r="AI36" s="178">
        <f t="shared" si="5"/>
        <v>0</v>
      </c>
      <c r="AJ36" s="168">
        <f t="shared" si="6"/>
        <v>0</v>
      </c>
      <c r="AK36" s="169"/>
    </row>
    <row r="37" spans="1:37" s="2" customFormat="1" ht="30" hidden="1" customHeight="1" x14ac:dyDescent="0.35">
      <c r="A37" s="59" t="str">
        <f>IF(B37="","",VLOOKUP(B37,Einstellungen!$E$9:$F$99,2,FALSE))</f>
        <v/>
      </c>
      <c r="B37" s="32"/>
      <c r="C37" s="158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60"/>
      <c r="AH37" s="93" cm="1">
        <f t="array" ref="AH37">SUMPRODUCT(ISNUMBER(MATCH($C37:$AG37, Tagschichten, 0)) * 1)</f>
        <v>0</v>
      </c>
      <c r="AI37" s="178">
        <f t="shared" si="5"/>
        <v>0</v>
      </c>
      <c r="AJ37" s="168">
        <f t="shared" si="6"/>
        <v>0</v>
      </c>
      <c r="AK37" s="169"/>
    </row>
    <row r="38" spans="1:37" s="2" customFormat="1" ht="30" hidden="1" customHeight="1" x14ac:dyDescent="0.35">
      <c r="A38" s="59" t="str">
        <f>IF(B38="","",VLOOKUP(B38,Einstellungen!$E$9:$F$99,2,FALSE))</f>
        <v/>
      </c>
      <c r="B38" s="32"/>
      <c r="C38" s="158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60"/>
      <c r="AH38" s="93" cm="1">
        <f t="array" ref="AH38">SUMPRODUCT(ISNUMBER(MATCH($C38:$AG38, Tagschichten, 0)) * 1)</f>
        <v>0</v>
      </c>
      <c r="AI38" s="178">
        <f t="shared" si="5"/>
        <v>0</v>
      </c>
      <c r="AJ38" s="168">
        <f t="shared" si="6"/>
        <v>0</v>
      </c>
      <c r="AK38" s="169"/>
    </row>
    <row r="39" spans="1:37" s="2" customFormat="1" ht="30" hidden="1" customHeight="1" x14ac:dyDescent="0.35">
      <c r="A39" s="59" t="str">
        <f>IF(B39="","",VLOOKUP(B39,Einstellungen!$E$9:$F$99,2,FALSE))</f>
        <v/>
      </c>
      <c r="B39" s="32"/>
      <c r="C39" s="158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60"/>
      <c r="AH39" s="93" cm="1">
        <f t="array" ref="AH39">SUMPRODUCT(ISNUMBER(MATCH($C39:$AG39, Tagschichten, 0)) * 1)</f>
        <v>0</v>
      </c>
      <c r="AI39" s="178">
        <f t="shared" si="5"/>
        <v>0</v>
      </c>
      <c r="AJ39" s="168">
        <f t="shared" si="6"/>
        <v>0</v>
      </c>
      <c r="AK39" s="169"/>
    </row>
    <row r="40" spans="1:37" s="2" customFormat="1" ht="20" hidden="1" customHeight="1" x14ac:dyDescent="0.35">
      <c r="A40" s="59" t="str">
        <f>IF(B40="","",VLOOKUP(B40,Einstellungen!$E$9:$F$99,2,FALSE))</f>
        <v/>
      </c>
      <c r="B40" s="32"/>
      <c r="C40" s="158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60"/>
      <c r="AH40" s="93" cm="1">
        <f t="array" ref="AH40">SUMPRODUCT(ISNUMBER(MATCH($C40:$AG40, Tagschichten, 0)) * 1)</f>
        <v>0</v>
      </c>
      <c r="AI40" s="178">
        <f t="shared" si="5"/>
        <v>0</v>
      </c>
      <c r="AJ40" s="168">
        <f t="shared" si="6"/>
        <v>0</v>
      </c>
      <c r="AK40" s="169"/>
    </row>
    <row r="41" spans="1:37" s="2" customFormat="1" ht="20" hidden="1" customHeight="1" x14ac:dyDescent="0.35">
      <c r="A41" s="59" t="str">
        <f>IF(B41="","",VLOOKUP(B41,Einstellungen!$E$9:$F$99,2,FALSE))</f>
        <v/>
      </c>
      <c r="B41" s="32"/>
      <c r="C41" s="158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60"/>
      <c r="AH41" s="93" cm="1">
        <f t="array" ref="AH41">SUMPRODUCT(ISNUMBER(MATCH($C41:$AG41, Tagschichten, 0)) * 1)</f>
        <v>0</v>
      </c>
      <c r="AI41" s="178">
        <f t="shared" si="5"/>
        <v>0</v>
      </c>
      <c r="AJ41" s="168">
        <f t="shared" si="6"/>
        <v>0</v>
      </c>
      <c r="AK41" s="169"/>
    </row>
    <row r="42" spans="1:37" s="2" customFormat="1" ht="20" hidden="1" customHeight="1" x14ac:dyDescent="0.35">
      <c r="A42" s="59" t="str">
        <f>IF(B42="","",VLOOKUP(B42,Einstellungen!$E$9:$F$99,2,FALSE))</f>
        <v/>
      </c>
      <c r="B42" s="32"/>
      <c r="C42" s="158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60"/>
      <c r="AH42" s="93" cm="1">
        <f t="array" ref="AH42">SUMPRODUCT(ISNUMBER(MATCH($C42:$AG42, Tagschichten, 0)) * 1)</f>
        <v>0</v>
      </c>
      <c r="AI42" s="178">
        <f t="shared" si="5"/>
        <v>0</v>
      </c>
      <c r="AJ42" s="168">
        <f t="shared" si="6"/>
        <v>0</v>
      </c>
      <c r="AK42" s="169"/>
    </row>
    <row r="43" spans="1:37" s="2" customFormat="1" ht="20" hidden="1" customHeight="1" x14ac:dyDescent="0.35">
      <c r="A43" s="59" t="str">
        <f>IF(B43="","",VLOOKUP(B43,Einstellungen!$E$9:$F$99,2,FALSE))</f>
        <v/>
      </c>
      <c r="B43" s="32"/>
      <c r="C43" s="158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60"/>
      <c r="AH43" s="93" cm="1">
        <f t="array" ref="AH43">SUMPRODUCT(ISNUMBER(MATCH($C43:$AG43, Tagschichten, 0)) * 1)</f>
        <v>0</v>
      </c>
      <c r="AI43" s="178">
        <f t="shared" si="5"/>
        <v>0</v>
      </c>
      <c r="AJ43" s="168">
        <f t="shared" si="6"/>
        <v>0</v>
      </c>
      <c r="AK43" s="169"/>
    </row>
    <row r="44" spans="1:37" s="2" customFormat="1" ht="20" hidden="1" customHeight="1" x14ac:dyDescent="0.35">
      <c r="A44" s="59" t="str">
        <f>IF(B44="","",VLOOKUP(B44,Einstellungen!$E$9:$F$99,2,FALSE))</f>
        <v/>
      </c>
      <c r="B44" s="32"/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60"/>
      <c r="AH44" s="93" cm="1">
        <f t="array" ref="AH44">SUMPRODUCT(ISNUMBER(MATCH($C44:$AG44, Tagschichten, 0)) * 1)</f>
        <v>0</v>
      </c>
      <c r="AI44" s="178">
        <f t="shared" si="5"/>
        <v>0</v>
      </c>
      <c r="AJ44" s="168">
        <f t="shared" si="6"/>
        <v>0</v>
      </c>
      <c r="AK44" s="169"/>
    </row>
    <row r="45" spans="1:37" s="2" customFormat="1" ht="20" hidden="1" customHeight="1" x14ac:dyDescent="0.35">
      <c r="A45" s="59" t="str">
        <f>IF(B45="","",VLOOKUP(B45,Einstellungen!$E$9:$F$99,2,FALSE))</f>
        <v/>
      </c>
      <c r="B45" s="32"/>
      <c r="C45" s="158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60"/>
      <c r="AH45" s="93" cm="1">
        <f t="array" ref="AH45">SUMPRODUCT(ISNUMBER(MATCH($C45:$AG45, Tagschichten, 0)) * 1)</f>
        <v>0</v>
      </c>
      <c r="AI45" s="178">
        <f t="shared" si="5"/>
        <v>0</v>
      </c>
      <c r="AJ45" s="168">
        <f t="shared" si="6"/>
        <v>0</v>
      </c>
      <c r="AK45" s="169"/>
    </row>
    <row r="46" spans="1:37" s="2" customFormat="1" ht="20" hidden="1" customHeight="1" x14ac:dyDescent="0.35">
      <c r="A46" s="59" t="str">
        <f>IF(B46="","",VLOOKUP(B46,Einstellungen!$E$9:$F$99,2,FALSE))</f>
        <v/>
      </c>
      <c r="B46" s="32"/>
      <c r="C46" s="158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60"/>
      <c r="AH46" s="93" cm="1">
        <f t="array" ref="AH46">SUMPRODUCT(ISNUMBER(MATCH($C46:$AG46, Tagschichten, 0)) * 1)</f>
        <v>0</v>
      </c>
      <c r="AI46" s="178">
        <f t="shared" si="5"/>
        <v>0</v>
      </c>
      <c r="AJ46" s="168">
        <f t="shared" si="6"/>
        <v>0</v>
      </c>
      <c r="AK46" s="169"/>
    </row>
    <row r="47" spans="1:37" s="2" customFormat="1" ht="20" hidden="1" customHeight="1" x14ac:dyDescent="0.35">
      <c r="A47" s="59" t="str">
        <f>IF(B47="","",VLOOKUP(B47,Einstellungen!$E$9:$F$99,2,FALSE))</f>
        <v/>
      </c>
      <c r="B47" s="32"/>
      <c r="C47" s="158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62"/>
      <c r="AH47" s="93" cm="1">
        <f t="array" ref="AH47">SUMPRODUCT(ISNUMBER(MATCH($C47:$AG47, Tagschichten, 0)) * 1)</f>
        <v>0</v>
      </c>
      <c r="AI47" s="178">
        <f t="shared" si="5"/>
        <v>0</v>
      </c>
      <c r="AJ47" s="168">
        <f t="shared" si="6"/>
        <v>0</v>
      </c>
      <c r="AK47" s="169"/>
    </row>
    <row r="48" spans="1:37" s="2" customFormat="1" ht="20" hidden="1" customHeight="1" x14ac:dyDescent="0.35">
      <c r="A48" s="59" t="str">
        <f>IF(B48="","",VLOOKUP(B48,Einstellungen!$E$9:$F$99,2,FALSE))</f>
        <v/>
      </c>
      <c r="B48" s="32"/>
      <c r="C48" s="158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62"/>
      <c r="AH48" s="93" cm="1">
        <f t="array" ref="AH48">SUMPRODUCT(ISNUMBER(MATCH($C48:$AG48, Tagschichten, 0)) * 1)</f>
        <v>0</v>
      </c>
      <c r="AI48" s="178">
        <f t="shared" si="5"/>
        <v>0</v>
      </c>
      <c r="AJ48" s="168">
        <f t="shared" si="6"/>
        <v>0</v>
      </c>
      <c r="AK48" s="169"/>
    </row>
    <row r="49" spans="1:40" s="2" customFormat="1" ht="20" hidden="1" customHeight="1" thickBot="1" x14ac:dyDescent="0.4">
      <c r="A49" s="59" t="str">
        <f>IF(B49="","",VLOOKUP(B49,Einstellungen!$E$9:$F$99,2,FALSE))</f>
        <v/>
      </c>
      <c r="B49" s="33"/>
      <c r="C49" s="163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5"/>
      <c r="AH49" s="94" cm="1">
        <f t="array" ref="AH49">SUMPRODUCT(ISNUMBER(MATCH($C49:$AG49, Tagschichten, 0)) * 1)</f>
        <v>0</v>
      </c>
      <c r="AI49" s="224">
        <f t="shared" si="5"/>
        <v>0</v>
      </c>
      <c r="AJ49" s="225">
        <f t="shared" si="6"/>
        <v>0</v>
      </c>
      <c r="AK49" s="226"/>
    </row>
    <row r="50" spans="1:40" s="4" customFormat="1" ht="27" customHeight="1" thickBot="1" x14ac:dyDescent="0.4">
      <c r="A50" s="62"/>
      <c r="B50" s="147" t="s">
        <v>51</v>
      </c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91">
        <f>SUM(AH$10:AH$49)</f>
        <v>0</v>
      </c>
      <c r="AI50" s="170">
        <f>SUM(AI$10:AI$49)</f>
        <v>0</v>
      </c>
      <c r="AJ50" s="171">
        <f>SUM(AJ$10:AJ$49)</f>
        <v>0</v>
      </c>
      <c r="AK50" s="172">
        <f t="shared" ref="AK50" si="9">SUM(AK$10:AK$49)</f>
        <v>0</v>
      </c>
    </row>
    <row r="51" spans="1:40" s="4" customFormat="1" ht="27" customHeight="1" x14ac:dyDescent="0.35">
      <c r="A51" s="63"/>
      <c r="B51" s="96"/>
      <c r="C51" s="229"/>
      <c r="D51" s="229"/>
      <c r="E51" s="229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96"/>
      <c r="AI51" s="179"/>
      <c r="AJ51" s="96"/>
      <c r="AK51" s="96"/>
      <c r="AM51" s="13"/>
      <c r="AN51" s="13"/>
    </row>
    <row r="52" spans="1:40" s="4" customFormat="1" ht="19.25" customHeight="1" x14ac:dyDescent="0.35">
      <c r="A52" s="63"/>
      <c r="B52" s="96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6"/>
      <c r="AI52" s="179"/>
      <c r="AJ52" s="96"/>
      <c r="AK52" s="96"/>
    </row>
    <row r="53" spans="1:40" s="4" customFormat="1" ht="19.25" customHeight="1" x14ac:dyDescent="0.35">
      <c r="A53" s="63"/>
      <c r="B53" s="270" t="s">
        <v>52</v>
      </c>
      <c r="C53" s="270"/>
      <c r="D53" s="270"/>
      <c r="E53" s="270"/>
      <c r="F53" s="270"/>
      <c r="G53" s="270"/>
      <c r="H53" s="270"/>
      <c r="I53" s="270"/>
      <c r="K53" s="99" t="s">
        <v>29</v>
      </c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22"/>
      <c r="Y53" s="22"/>
      <c r="Z53" s="100"/>
      <c r="AA53" s="100"/>
      <c r="AB53" s="100"/>
      <c r="AC53" s="100"/>
      <c r="AD53" s="100"/>
      <c r="AE53" s="100"/>
      <c r="AF53" s="100"/>
      <c r="AG53" s="100"/>
      <c r="AH53" s="96"/>
      <c r="AI53" s="179"/>
      <c r="AJ53" s="96"/>
      <c r="AK53" s="96"/>
    </row>
    <row r="54" spans="1:40" s="2" customFormat="1" ht="20" customHeight="1" x14ac:dyDescent="0.35">
      <c r="A54" s="63"/>
      <c r="B54" s="271"/>
      <c r="C54" s="271"/>
      <c r="D54" s="271"/>
      <c r="E54" s="271"/>
      <c r="F54" s="271"/>
      <c r="G54" s="271"/>
      <c r="H54" s="271"/>
      <c r="I54" s="271"/>
      <c r="J54" s="4"/>
      <c r="K54" s="110"/>
      <c r="L54" s="110"/>
      <c r="M54" s="110"/>
      <c r="N54" s="110"/>
      <c r="O54" s="110"/>
      <c r="P54" s="110"/>
      <c r="Q54" s="110"/>
      <c r="R54" s="110"/>
      <c r="S54" s="110"/>
      <c r="T54" s="111"/>
      <c r="U54" s="111"/>
      <c r="V54" s="111"/>
      <c r="W54" s="110"/>
      <c r="X54" s="112"/>
      <c r="Y54" s="20"/>
      <c r="Z54" s="20"/>
      <c r="AA54" s="20"/>
      <c r="AB54" s="109"/>
      <c r="AC54" s="109"/>
      <c r="AD54" s="109"/>
      <c r="AE54" s="109"/>
      <c r="AF54" s="109"/>
      <c r="AG54" s="109"/>
      <c r="AH54" s="109"/>
      <c r="AI54" s="180"/>
      <c r="AJ54" s="109"/>
      <c r="AK54" s="109"/>
    </row>
    <row r="55" spans="1:40" s="11" customFormat="1" ht="20" customHeight="1" x14ac:dyDescent="0.25">
      <c r="A55" s="64"/>
      <c r="B55" s="272"/>
      <c r="C55" s="272"/>
      <c r="D55" s="272"/>
      <c r="E55" s="272"/>
      <c r="F55" s="272"/>
      <c r="G55" s="272"/>
      <c r="H55" s="272"/>
      <c r="I55" s="272"/>
      <c r="J55" s="7"/>
      <c r="K55" s="197" t="s">
        <v>90</v>
      </c>
      <c r="L55" s="115" t="s">
        <v>97</v>
      </c>
      <c r="M55" s="115"/>
      <c r="N55" s="19"/>
      <c r="O55" s="19"/>
      <c r="P55" s="115"/>
      <c r="Q55" s="115"/>
      <c r="R55" s="203" t="s">
        <v>18</v>
      </c>
      <c r="S55" s="116" t="s">
        <v>49</v>
      </c>
      <c r="T55" s="19"/>
      <c r="U55" s="19"/>
      <c r="V55" s="19"/>
      <c r="W55" s="116"/>
      <c r="X55" s="50"/>
      <c r="Y55" s="50"/>
      <c r="Z55" s="101" t="s">
        <v>48</v>
      </c>
      <c r="AA55" s="101"/>
      <c r="AB55" s="114">
        <v>1</v>
      </c>
      <c r="AC55" s="101"/>
      <c r="AD55" s="101"/>
      <c r="AE55" s="21"/>
      <c r="AF55" s="21"/>
      <c r="AG55" s="21"/>
      <c r="AH55" s="22"/>
      <c r="AI55" s="181"/>
      <c r="AJ55" s="22"/>
      <c r="AK55" s="22"/>
    </row>
    <row r="56" spans="1:40" s="11" customFormat="1" ht="20" customHeight="1" x14ac:dyDescent="0.25">
      <c r="A56" s="64"/>
      <c r="B56" s="272"/>
      <c r="C56" s="272"/>
      <c r="D56" s="272"/>
      <c r="E56" s="272"/>
      <c r="F56" s="272"/>
      <c r="G56" s="272"/>
      <c r="H56" s="272"/>
      <c r="I56" s="272"/>
      <c r="J56" s="7"/>
      <c r="K56" s="198" t="s">
        <v>91</v>
      </c>
      <c r="L56" s="115" t="s">
        <v>96</v>
      </c>
      <c r="M56" s="115"/>
      <c r="N56" s="19"/>
      <c r="O56" s="19"/>
      <c r="P56" s="115"/>
      <c r="Q56" s="115"/>
      <c r="R56" s="204" t="s">
        <v>44</v>
      </c>
      <c r="S56" s="116" t="s">
        <v>50</v>
      </c>
      <c r="T56" s="19"/>
      <c r="U56" s="19"/>
      <c r="V56" s="19"/>
      <c r="W56" s="116"/>
      <c r="X56" s="50"/>
      <c r="Y56" s="50"/>
      <c r="Z56" s="22" t="s">
        <v>30</v>
      </c>
      <c r="AA56" s="22"/>
      <c r="AB56" s="273"/>
      <c r="AC56" s="273"/>
      <c r="AD56" s="273"/>
      <c r="AE56" s="273"/>
      <c r="AF56" s="273"/>
      <c r="AG56" s="273"/>
      <c r="AH56" s="273"/>
      <c r="AI56" s="273"/>
      <c r="AJ56" s="22"/>
      <c r="AK56" s="22"/>
    </row>
    <row r="57" spans="1:40" s="11" customFormat="1" ht="20" customHeight="1" x14ac:dyDescent="0.25">
      <c r="A57" s="64"/>
      <c r="B57" s="252"/>
      <c r="C57" s="252"/>
      <c r="D57" s="252"/>
      <c r="E57" s="252"/>
      <c r="F57" s="252"/>
      <c r="G57" s="252"/>
      <c r="H57" s="252"/>
      <c r="I57" s="252"/>
      <c r="J57" s="7"/>
      <c r="K57" s="199"/>
      <c r="L57" s="115"/>
      <c r="M57" s="115"/>
      <c r="N57" s="19"/>
      <c r="O57" s="19"/>
      <c r="P57" s="115"/>
      <c r="Q57" s="115"/>
      <c r="R57" s="205" t="s">
        <v>68</v>
      </c>
      <c r="S57" s="116" t="s">
        <v>66</v>
      </c>
      <c r="T57" s="19"/>
      <c r="U57" s="19"/>
      <c r="V57" s="19"/>
      <c r="W57" s="19"/>
      <c r="X57" s="116"/>
      <c r="Y57" s="66"/>
      <c r="Z57" s="96"/>
      <c r="AA57" s="96"/>
      <c r="AB57" s="22"/>
      <c r="AC57" s="22"/>
      <c r="AD57" s="22"/>
      <c r="AE57" s="22"/>
      <c r="AF57" s="22"/>
      <c r="AG57" s="22"/>
      <c r="AH57" s="22"/>
      <c r="AI57" s="181"/>
      <c r="AJ57" s="22"/>
      <c r="AK57" s="22"/>
    </row>
    <row r="58" spans="1:40" s="11" customFormat="1" ht="20" customHeight="1" x14ac:dyDescent="0.25">
      <c r="A58" s="64"/>
      <c r="B58" s="266"/>
      <c r="C58" s="266"/>
      <c r="D58" s="266"/>
      <c r="E58" s="266"/>
      <c r="F58" s="266"/>
      <c r="G58" s="266"/>
      <c r="H58" s="266"/>
      <c r="I58" s="266"/>
      <c r="J58" s="7"/>
      <c r="K58" s="200"/>
      <c r="L58" s="115"/>
      <c r="M58" s="136"/>
      <c r="N58" s="137"/>
      <c r="O58" s="136"/>
      <c r="P58" s="115"/>
      <c r="Q58" s="115"/>
      <c r="R58" s="206"/>
      <c r="S58" s="116"/>
      <c r="T58" s="19"/>
      <c r="U58" s="19"/>
      <c r="V58" s="19"/>
      <c r="W58" s="116"/>
      <c r="X58" s="116"/>
      <c r="Y58" s="66"/>
      <c r="Z58" s="96" t="s">
        <v>63</v>
      </c>
      <c r="AA58" s="96"/>
      <c r="AB58" s="267" t="str">
        <f>$C$96</f>
        <v>Objektleitername</v>
      </c>
      <c r="AC58" s="267"/>
      <c r="AD58" s="267"/>
      <c r="AE58" s="267"/>
      <c r="AF58" s="267"/>
      <c r="AG58" s="267"/>
      <c r="AH58" s="267"/>
      <c r="AI58" s="267"/>
      <c r="AJ58" s="22"/>
      <c r="AK58" s="22"/>
    </row>
    <row r="59" spans="1:40" s="2" customFormat="1" ht="20" customHeight="1" x14ac:dyDescent="0.4">
      <c r="A59" s="63"/>
      <c r="B59" s="266"/>
      <c r="C59" s="266"/>
      <c r="D59" s="266"/>
      <c r="E59" s="266"/>
      <c r="F59" s="266"/>
      <c r="G59" s="266"/>
      <c r="H59" s="266"/>
      <c r="I59" s="266"/>
      <c r="J59" s="20"/>
      <c r="K59" s="201" t="s">
        <v>94</v>
      </c>
      <c r="L59" s="138" t="s">
        <v>95</v>
      </c>
      <c r="M59" s="9"/>
      <c r="N59" s="9"/>
      <c r="O59" s="9"/>
      <c r="P59" s="9"/>
      <c r="Q59" s="9"/>
      <c r="R59" s="207"/>
      <c r="S59" s="138"/>
      <c r="T59" s="116"/>
      <c r="U59" s="116"/>
      <c r="V59" s="116"/>
      <c r="W59" s="116"/>
      <c r="X59" s="116"/>
      <c r="Y59" s="129"/>
      <c r="Z59" s="96"/>
      <c r="AA59" s="96"/>
      <c r="AB59" s="96"/>
      <c r="AC59" s="96"/>
      <c r="AD59" s="96"/>
      <c r="AE59" s="96"/>
      <c r="AF59" s="96"/>
      <c r="AG59" s="96"/>
      <c r="AH59" s="96"/>
      <c r="AI59" s="179"/>
      <c r="AJ59" s="96"/>
      <c r="AK59" s="96"/>
    </row>
    <row r="60" spans="1:40" s="2" customFormat="1" ht="20" customHeight="1" x14ac:dyDescent="0.35">
      <c r="A60" s="63"/>
      <c r="B60" s="266"/>
      <c r="C60" s="266"/>
      <c r="D60" s="266"/>
      <c r="E60" s="266"/>
      <c r="F60" s="266"/>
      <c r="G60" s="266"/>
      <c r="H60" s="266"/>
      <c r="I60" s="266"/>
      <c r="J60" s="20"/>
      <c r="K60" s="202" t="s">
        <v>47</v>
      </c>
      <c r="L60" s="115" t="s">
        <v>51</v>
      </c>
      <c r="M60" s="115"/>
      <c r="N60" s="115"/>
      <c r="O60" s="115"/>
      <c r="P60" s="115"/>
      <c r="Q60" s="117"/>
      <c r="R60" s="206"/>
      <c r="S60" s="116"/>
      <c r="T60" s="116"/>
      <c r="U60" s="116"/>
      <c r="V60" s="116"/>
      <c r="W60" s="116"/>
      <c r="X60" s="67"/>
      <c r="Y60" s="67"/>
      <c r="Z60" s="22" t="s">
        <v>64</v>
      </c>
      <c r="AA60" s="21"/>
      <c r="AB60" s="21"/>
      <c r="AC60" s="21"/>
      <c r="AD60" s="21"/>
      <c r="AE60" s="21"/>
      <c r="AF60" s="21"/>
      <c r="AG60" s="21"/>
      <c r="AH60" s="21"/>
      <c r="AI60" s="182"/>
      <c r="AJ60" s="96"/>
      <c r="AK60" s="96"/>
    </row>
    <row r="61" spans="1:40" s="2" customFormat="1" ht="20" customHeight="1" x14ac:dyDescent="0.35">
      <c r="A61" s="63"/>
      <c r="B61" s="20"/>
      <c r="C61" s="20"/>
      <c r="D61" s="20"/>
      <c r="E61" s="20"/>
      <c r="F61" s="20"/>
      <c r="G61" s="20"/>
      <c r="H61" s="20"/>
      <c r="I61" s="20"/>
      <c r="J61" s="20"/>
      <c r="K61" s="152"/>
      <c r="L61" s="153"/>
      <c r="M61" s="153"/>
      <c r="N61" s="153"/>
      <c r="O61" s="153"/>
      <c r="P61" s="153"/>
      <c r="Q61" s="153"/>
      <c r="R61" s="208"/>
      <c r="S61" s="153"/>
      <c r="T61" s="116"/>
      <c r="U61" s="116"/>
      <c r="V61" s="116"/>
      <c r="W61" s="116"/>
      <c r="X61" s="67"/>
      <c r="Y61" s="67"/>
      <c r="Z61" s="99"/>
      <c r="AA61" s="96"/>
      <c r="AB61" s="22"/>
      <c r="AC61" s="22"/>
      <c r="AD61" s="22"/>
      <c r="AE61" s="22"/>
      <c r="AF61" s="22"/>
      <c r="AG61" s="22"/>
      <c r="AH61" s="22"/>
      <c r="AI61" s="181"/>
      <c r="AJ61" s="96"/>
      <c r="AK61" s="96"/>
    </row>
    <row r="62" spans="1:40" s="2" customFormat="1" ht="20" customHeight="1" x14ac:dyDescent="0.35">
      <c r="A62" s="63"/>
      <c r="B62" s="102"/>
      <c r="C62" s="20"/>
      <c r="D62" s="20"/>
      <c r="E62" s="20"/>
      <c r="F62" s="20"/>
      <c r="G62" s="20"/>
      <c r="H62" s="20"/>
      <c r="I62" s="20"/>
      <c r="J62" s="20"/>
      <c r="K62" s="152"/>
      <c r="L62" s="153"/>
      <c r="M62" s="153"/>
      <c r="N62" s="153"/>
      <c r="O62" s="153"/>
      <c r="P62" s="153"/>
      <c r="Q62" s="154"/>
      <c r="R62" s="208"/>
      <c r="S62" s="154"/>
      <c r="T62" s="131"/>
      <c r="U62" s="131"/>
      <c r="V62" s="131"/>
      <c r="W62" s="131"/>
      <c r="X62" s="132"/>
      <c r="Y62" s="131"/>
      <c r="Z62" s="104"/>
      <c r="AA62" s="104"/>
      <c r="AB62" s="96"/>
      <c r="AC62" s="96"/>
      <c r="AD62" s="166"/>
      <c r="AE62" s="166"/>
      <c r="AF62" s="96"/>
      <c r="AG62" s="96"/>
      <c r="AH62" s="166"/>
      <c r="AI62" s="179"/>
      <c r="AJ62" s="96"/>
      <c r="AK62" s="96"/>
    </row>
    <row r="63" spans="1:40" s="2" customFormat="1" ht="20" customHeight="1" x14ac:dyDescent="0.35">
      <c r="A63" s="63"/>
      <c r="B63" s="20"/>
      <c r="C63" s="20"/>
      <c r="D63" s="20"/>
      <c r="E63" s="20"/>
      <c r="F63" s="20"/>
      <c r="G63" s="20"/>
      <c r="H63" s="20"/>
      <c r="I63" s="20"/>
      <c r="J63" s="20"/>
      <c r="K63" s="153"/>
      <c r="L63" s="153"/>
      <c r="M63" s="153"/>
      <c r="N63" s="153"/>
      <c r="O63" s="153"/>
      <c r="P63" s="153"/>
      <c r="Q63" s="154"/>
      <c r="R63" s="209"/>
      <c r="S63" s="154"/>
      <c r="T63" s="131"/>
      <c r="U63" s="131"/>
      <c r="V63" s="131"/>
      <c r="W63" s="131"/>
      <c r="X63" s="131"/>
      <c r="Y63" s="131"/>
      <c r="Z63" s="104"/>
      <c r="AA63" s="104"/>
      <c r="AB63" s="96"/>
      <c r="AC63" s="96"/>
      <c r="AD63" s="166"/>
      <c r="AE63" s="166"/>
      <c r="AF63" s="103"/>
      <c r="AG63" s="103"/>
      <c r="AH63" s="96"/>
      <c r="AI63" s="179"/>
      <c r="AJ63" s="96"/>
      <c r="AK63" s="96"/>
    </row>
    <row r="64" spans="1:40" s="2" customFormat="1" ht="20" customHeight="1" x14ac:dyDescent="0.35">
      <c r="A64" s="63"/>
      <c r="B64" s="20"/>
      <c r="C64" s="20"/>
      <c r="D64" s="20"/>
      <c r="E64" s="20"/>
      <c r="F64" s="20"/>
      <c r="G64" s="20"/>
      <c r="H64" s="20"/>
      <c r="I64" s="20"/>
      <c r="J64" s="20"/>
      <c r="K64" s="115"/>
      <c r="L64" s="115"/>
      <c r="M64" s="115"/>
      <c r="N64" s="115"/>
      <c r="O64" s="130"/>
      <c r="P64" s="130"/>
      <c r="Q64" s="131"/>
      <c r="R64" s="210"/>
      <c r="S64" s="131"/>
      <c r="T64" s="131"/>
      <c r="U64" s="131"/>
      <c r="V64" s="131"/>
      <c r="W64" s="131"/>
      <c r="X64" s="131"/>
      <c r="Y64" s="131"/>
      <c r="Z64" s="104"/>
      <c r="AA64" s="104"/>
      <c r="AB64" s="103"/>
      <c r="AC64" s="103"/>
      <c r="AD64" s="103"/>
      <c r="AE64" s="103"/>
      <c r="AF64" s="103"/>
      <c r="AG64" s="103"/>
      <c r="AH64" s="96"/>
      <c r="AI64" s="179"/>
      <c r="AJ64" s="96"/>
      <c r="AK64" s="96"/>
    </row>
    <row r="65" spans="1:37" s="2" customFormat="1" ht="20" customHeight="1" thickBot="1" x14ac:dyDescent="0.4">
      <c r="A65" s="63"/>
      <c r="B65" s="105"/>
      <c r="C65" s="105"/>
      <c r="D65" s="105"/>
      <c r="E65" s="105"/>
      <c r="F65" s="105"/>
      <c r="G65" s="105"/>
      <c r="H65" s="105"/>
      <c r="I65" s="105"/>
      <c r="J65" s="105"/>
      <c r="K65" s="133"/>
      <c r="L65" s="133"/>
      <c r="M65" s="133"/>
      <c r="N65" s="133"/>
      <c r="O65" s="134"/>
      <c r="P65" s="134"/>
      <c r="Q65" s="135"/>
      <c r="R65" s="211"/>
      <c r="S65" s="135"/>
      <c r="T65" s="135"/>
      <c r="U65" s="135"/>
      <c r="V65" s="135"/>
      <c r="W65" s="135"/>
      <c r="X65" s="135"/>
      <c r="Y65" s="135"/>
      <c r="Z65" s="107"/>
      <c r="AA65" s="107"/>
      <c r="AB65" s="106"/>
      <c r="AC65" s="106"/>
      <c r="AD65" s="106"/>
      <c r="AE65" s="106"/>
      <c r="AF65" s="106"/>
      <c r="AG65" s="106"/>
      <c r="AH65" s="108"/>
      <c r="AI65" s="183"/>
      <c r="AJ65" s="108"/>
      <c r="AK65" s="108"/>
    </row>
    <row r="66" spans="1:37" s="2" customFormat="1" ht="20" customHeight="1" x14ac:dyDescent="0.35">
      <c r="A66" s="63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6"/>
      <c r="P66" s="6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6"/>
      <c r="AC66" s="6"/>
      <c r="AD66" s="6"/>
      <c r="AE66" s="6"/>
      <c r="AF66" s="6"/>
      <c r="AG66" s="6"/>
      <c r="AH66" s="12"/>
      <c r="AI66" s="184"/>
      <c r="AJ66" s="12"/>
      <c r="AK66" s="12"/>
    </row>
    <row r="67" spans="1:37" s="2" customFormat="1" ht="20" customHeight="1" x14ac:dyDescent="0.35">
      <c r="A67" s="63"/>
      <c r="B67" s="268" t="s">
        <v>32</v>
      </c>
      <c r="C67" s="269"/>
      <c r="D67" s="269"/>
      <c r="E67" s="269"/>
      <c r="F67" s="269"/>
      <c r="G67" s="269"/>
      <c r="H67" s="269"/>
      <c r="I67" s="269"/>
      <c r="J67" s="269"/>
      <c r="K67" s="269"/>
      <c r="L67" s="269"/>
      <c r="M67" s="269"/>
      <c r="N67" s="269"/>
      <c r="O67" s="6"/>
      <c r="P67" s="6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6"/>
      <c r="AC67" s="6"/>
      <c r="AD67" s="6"/>
      <c r="AE67" s="6"/>
      <c r="AF67" s="6"/>
      <c r="AG67" s="6"/>
      <c r="AH67" s="12"/>
      <c r="AI67" s="184"/>
      <c r="AJ67" s="12"/>
      <c r="AK67" s="12"/>
    </row>
    <row r="68" spans="1:37" s="2" customFormat="1" ht="20" customHeight="1" x14ac:dyDescent="0.35">
      <c r="A68" s="63"/>
      <c r="B68" s="252"/>
      <c r="C68" s="253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6"/>
      <c r="P68" s="6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6"/>
      <c r="AC68" s="6"/>
      <c r="AD68" s="6"/>
      <c r="AE68" s="6"/>
      <c r="AF68" s="6"/>
      <c r="AG68" s="6"/>
      <c r="AH68" s="12"/>
      <c r="AI68" s="184"/>
      <c r="AJ68" s="12"/>
      <c r="AK68" s="12"/>
    </row>
    <row r="69" spans="1:37" s="2" customFormat="1" ht="20" customHeight="1" x14ac:dyDescent="0.35">
      <c r="A69" s="63"/>
      <c r="B69" s="252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6"/>
      <c r="P69" s="6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6"/>
      <c r="AC69" s="6"/>
      <c r="AD69" s="6"/>
      <c r="AE69" s="6"/>
      <c r="AF69" s="6"/>
      <c r="AG69" s="6"/>
      <c r="AH69" s="12"/>
      <c r="AI69" s="184"/>
      <c r="AJ69" s="12"/>
      <c r="AK69" s="12"/>
    </row>
    <row r="70" spans="1:37" s="2" customFormat="1" ht="20" customHeight="1" x14ac:dyDescent="0.35">
      <c r="A70" s="63"/>
      <c r="B70" s="252"/>
      <c r="C70" s="253"/>
      <c r="D70" s="253"/>
      <c r="E70" s="253"/>
      <c r="F70" s="253"/>
      <c r="G70" s="253"/>
      <c r="H70" s="253"/>
      <c r="I70" s="253"/>
      <c r="J70" s="253"/>
      <c r="K70" s="253"/>
      <c r="L70" s="253"/>
      <c r="M70" s="253"/>
      <c r="N70" s="253"/>
      <c r="O70" s="6"/>
      <c r="P70" s="6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6"/>
      <c r="AC70" s="6"/>
      <c r="AD70" s="6"/>
      <c r="AE70" s="6"/>
      <c r="AF70" s="6"/>
      <c r="AG70" s="6"/>
      <c r="AH70" s="12"/>
      <c r="AI70" s="184"/>
      <c r="AJ70" s="12"/>
      <c r="AK70" s="12"/>
    </row>
    <row r="71" spans="1:37" s="2" customFormat="1" ht="20" customHeight="1" x14ac:dyDescent="0.35">
      <c r="A71" s="63"/>
      <c r="B71" s="252"/>
      <c r="C71" s="253"/>
      <c r="D71" s="253"/>
      <c r="E71" s="253"/>
      <c r="F71" s="253"/>
      <c r="G71" s="253"/>
      <c r="H71" s="253"/>
      <c r="I71" s="253"/>
      <c r="J71" s="253"/>
      <c r="K71" s="253"/>
      <c r="L71" s="253"/>
      <c r="M71" s="253"/>
      <c r="N71" s="253"/>
      <c r="O71" s="6"/>
      <c r="P71" s="6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6"/>
      <c r="AC71" s="6"/>
      <c r="AD71" s="6"/>
      <c r="AE71" s="6"/>
      <c r="AF71" s="6"/>
      <c r="AG71" s="6"/>
      <c r="AH71" s="12"/>
      <c r="AI71" s="184"/>
      <c r="AJ71" s="12"/>
      <c r="AK71" s="12"/>
    </row>
    <row r="72" spans="1:37" s="2" customFormat="1" ht="20" customHeight="1" x14ac:dyDescent="0.35">
      <c r="A72" s="63"/>
      <c r="B72" s="252"/>
      <c r="C72" s="253"/>
      <c r="D72" s="253"/>
      <c r="E72" s="253"/>
      <c r="F72" s="253"/>
      <c r="G72" s="253"/>
      <c r="H72" s="253"/>
      <c r="I72" s="253"/>
      <c r="J72" s="253"/>
      <c r="K72" s="253"/>
      <c r="L72" s="253"/>
      <c r="M72" s="253"/>
      <c r="N72" s="253"/>
      <c r="O72" s="6"/>
      <c r="P72" s="6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6"/>
      <c r="AC72" s="6"/>
      <c r="AD72" s="6"/>
      <c r="AE72" s="6"/>
      <c r="AF72" s="6"/>
      <c r="AG72" s="6"/>
      <c r="AH72" s="12"/>
      <c r="AI72" s="184"/>
      <c r="AJ72" s="12"/>
      <c r="AK72" s="12"/>
    </row>
    <row r="73" spans="1:37" s="2" customFormat="1" ht="20" customHeight="1" x14ac:dyDescent="0.35">
      <c r="A73" s="63"/>
      <c r="B73" s="252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6"/>
      <c r="P73" s="6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6"/>
      <c r="AC73" s="6"/>
      <c r="AD73" s="6"/>
      <c r="AE73" s="6"/>
      <c r="AF73" s="6"/>
      <c r="AG73" s="6"/>
      <c r="AH73" s="12"/>
      <c r="AI73" s="184"/>
      <c r="AJ73" s="12"/>
      <c r="AK73" s="12"/>
    </row>
    <row r="74" spans="1:37" s="2" customFormat="1" ht="20" customHeight="1" x14ac:dyDescent="0.35">
      <c r="A74" s="63"/>
      <c r="B74" s="252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6"/>
      <c r="P74" s="6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6"/>
      <c r="AC74" s="6"/>
      <c r="AD74" s="6"/>
      <c r="AE74" s="6"/>
      <c r="AF74" s="6"/>
      <c r="AG74" s="6"/>
      <c r="AH74" s="12"/>
      <c r="AI74" s="184"/>
      <c r="AJ74" s="12"/>
      <c r="AK74" s="12"/>
    </row>
    <row r="75" spans="1:37" s="2" customFormat="1" ht="20" customHeight="1" x14ac:dyDescent="0.35">
      <c r="A75" s="63"/>
      <c r="B75" s="252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6"/>
      <c r="P75" s="6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6"/>
      <c r="AC75" s="6"/>
      <c r="AD75" s="6"/>
      <c r="AE75" s="6"/>
      <c r="AF75" s="6"/>
      <c r="AG75" s="6"/>
      <c r="AH75" s="12"/>
      <c r="AI75" s="184"/>
      <c r="AJ75" s="12"/>
      <c r="AK75" s="12"/>
    </row>
    <row r="76" spans="1:37" s="2" customFormat="1" ht="20" customHeight="1" x14ac:dyDescent="0.35">
      <c r="A76" s="63"/>
      <c r="B76" s="252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6"/>
      <c r="P76" s="6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6"/>
      <c r="AC76" s="6"/>
      <c r="AD76" s="6"/>
      <c r="AE76" s="6"/>
      <c r="AF76" s="6"/>
      <c r="AG76" s="6"/>
      <c r="AH76" s="12"/>
      <c r="AI76" s="184"/>
      <c r="AJ76" s="12"/>
      <c r="AK76" s="12"/>
    </row>
    <row r="77" spans="1:37" s="2" customFormat="1" ht="20" customHeight="1" thickBot="1" x14ac:dyDescent="0.4">
      <c r="A77" s="6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6"/>
      <c r="AC77" s="6"/>
      <c r="AD77" s="6"/>
      <c r="AE77" s="6"/>
      <c r="AF77" s="6"/>
      <c r="AG77" s="6"/>
      <c r="AH77" s="12"/>
      <c r="AI77" s="184"/>
      <c r="AJ77" s="12"/>
      <c r="AK77" s="12"/>
    </row>
    <row r="78" spans="1:37" s="4" customFormat="1" ht="39" customHeight="1" thickBot="1" x14ac:dyDescent="0.4">
      <c r="A78" s="63"/>
      <c r="B78" s="17" t="s">
        <v>26</v>
      </c>
      <c r="C78" s="95">
        <f>C7</f>
        <v>45992</v>
      </c>
      <c r="D78" s="95">
        <f t="shared" ref="D78:AG78" si="10">D7</f>
        <v>45993</v>
      </c>
      <c r="E78" s="95">
        <f t="shared" si="10"/>
        <v>45994</v>
      </c>
      <c r="F78" s="95">
        <f t="shared" si="10"/>
        <v>45995</v>
      </c>
      <c r="G78" s="95">
        <f t="shared" si="10"/>
        <v>45996</v>
      </c>
      <c r="H78" s="95">
        <f t="shared" si="10"/>
        <v>45997</v>
      </c>
      <c r="I78" s="95">
        <f t="shared" si="10"/>
        <v>45998</v>
      </c>
      <c r="J78" s="95">
        <f t="shared" si="10"/>
        <v>45999</v>
      </c>
      <c r="K78" s="95">
        <f t="shared" si="10"/>
        <v>46000</v>
      </c>
      <c r="L78" s="95">
        <f t="shared" si="10"/>
        <v>46001</v>
      </c>
      <c r="M78" s="95">
        <f t="shared" si="10"/>
        <v>46002</v>
      </c>
      <c r="N78" s="95">
        <f t="shared" si="10"/>
        <v>46003</v>
      </c>
      <c r="O78" s="95">
        <f t="shared" si="10"/>
        <v>46004</v>
      </c>
      <c r="P78" s="95">
        <f t="shared" si="10"/>
        <v>46005</v>
      </c>
      <c r="Q78" s="95">
        <f t="shared" si="10"/>
        <v>46006</v>
      </c>
      <c r="R78" s="95">
        <f t="shared" si="10"/>
        <v>46007</v>
      </c>
      <c r="S78" s="95">
        <f t="shared" si="10"/>
        <v>46008</v>
      </c>
      <c r="T78" s="95">
        <f t="shared" si="10"/>
        <v>46009</v>
      </c>
      <c r="U78" s="95">
        <f t="shared" si="10"/>
        <v>46010</v>
      </c>
      <c r="V78" s="95">
        <f t="shared" si="10"/>
        <v>46011</v>
      </c>
      <c r="W78" s="95">
        <f t="shared" si="10"/>
        <v>46012</v>
      </c>
      <c r="X78" s="95">
        <f t="shared" si="10"/>
        <v>46013</v>
      </c>
      <c r="Y78" s="95">
        <f t="shared" si="10"/>
        <v>46014</v>
      </c>
      <c r="Z78" s="95">
        <f t="shared" si="10"/>
        <v>46015</v>
      </c>
      <c r="AA78" s="95">
        <f t="shared" si="10"/>
        <v>46016</v>
      </c>
      <c r="AB78" s="95">
        <f t="shared" si="10"/>
        <v>46017</v>
      </c>
      <c r="AC78" s="95">
        <f t="shared" si="10"/>
        <v>46018</v>
      </c>
      <c r="AD78" s="95">
        <f t="shared" si="10"/>
        <v>46019</v>
      </c>
      <c r="AE78" s="95">
        <f t="shared" si="10"/>
        <v>46020</v>
      </c>
      <c r="AF78" s="95">
        <f t="shared" si="10"/>
        <v>46021</v>
      </c>
      <c r="AG78" s="95">
        <f t="shared" si="10"/>
        <v>46022</v>
      </c>
      <c r="AH78" s="8"/>
      <c r="AI78" s="185"/>
      <c r="AJ78" s="8"/>
      <c r="AK78" s="8"/>
    </row>
    <row r="79" spans="1:37" s="7" customFormat="1" ht="26" customHeight="1" x14ac:dyDescent="0.25">
      <c r="A79" s="64"/>
      <c r="B79" s="69" t="str">
        <f t="shared" ref="B79:B86" si="11">IF(B99="", "", B99)</f>
        <v>Aufsichtsf. Wachperson</v>
      </c>
      <c r="C79" s="36">
        <f t="shared" ref="C79:AG79" si="12">COUNTIF(C$10:C$49, $F$99)</f>
        <v>0</v>
      </c>
      <c r="D79" s="36">
        <f t="shared" si="12"/>
        <v>0</v>
      </c>
      <c r="E79" s="36">
        <f t="shared" si="12"/>
        <v>0</v>
      </c>
      <c r="F79" s="36">
        <f t="shared" si="12"/>
        <v>0</v>
      </c>
      <c r="G79" s="36">
        <f t="shared" si="12"/>
        <v>0</v>
      </c>
      <c r="H79" s="36">
        <f t="shared" si="12"/>
        <v>0</v>
      </c>
      <c r="I79" s="36">
        <f t="shared" si="12"/>
        <v>0</v>
      </c>
      <c r="J79" s="36">
        <f t="shared" si="12"/>
        <v>0</v>
      </c>
      <c r="K79" s="36">
        <f t="shared" si="12"/>
        <v>0</v>
      </c>
      <c r="L79" s="36">
        <f t="shared" si="12"/>
        <v>0</v>
      </c>
      <c r="M79" s="36">
        <f t="shared" si="12"/>
        <v>0</v>
      </c>
      <c r="N79" s="36">
        <f t="shared" si="12"/>
        <v>0</v>
      </c>
      <c r="O79" s="36">
        <f t="shared" si="12"/>
        <v>0</v>
      </c>
      <c r="P79" s="36">
        <f t="shared" si="12"/>
        <v>0</v>
      </c>
      <c r="Q79" s="36">
        <f t="shared" si="12"/>
        <v>0</v>
      </c>
      <c r="R79" s="36">
        <f t="shared" si="12"/>
        <v>0</v>
      </c>
      <c r="S79" s="36">
        <f t="shared" si="12"/>
        <v>0</v>
      </c>
      <c r="T79" s="36">
        <f t="shared" si="12"/>
        <v>0</v>
      </c>
      <c r="U79" s="36">
        <f t="shared" si="12"/>
        <v>0</v>
      </c>
      <c r="V79" s="36">
        <f t="shared" si="12"/>
        <v>0</v>
      </c>
      <c r="W79" s="36">
        <f t="shared" si="12"/>
        <v>0</v>
      </c>
      <c r="X79" s="36">
        <f t="shared" si="12"/>
        <v>0</v>
      </c>
      <c r="Y79" s="36">
        <f t="shared" si="12"/>
        <v>0</v>
      </c>
      <c r="Z79" s="36">
        <f t="shared" si="12"/>
        <v>0</v>
      </c>
      <c r="AA79" s="36">
        <f t="shared" si="12"/>
        <v>0</v>
      </c>
      <c r="AB79" s="36">
        <f t="shared" si="12"/>
        <v>0</v>
      </c>
      <c r="AC79" s="36">
        <f t="shared" si="12"/>
        <v>0</v>
      </c>
      <c r="AD79" s="36">
        <f t="shared" si="12"/>
        <v>0</v>
      </c>
      <c r="AE79" s="36">
        <f t="shared" si="12"/>
        <v>0</v>
      </c>
      <c r="AF79" s="36">
        <f t="shared" si="12"/>
        <v>0</v>
      </c>
      <c r="AG79" s="37">
        <f t="shared" si="12"/>
        <v>0</v>
      </c>
      <c r="AH79" s="27"/>
      <c r="AI79" s="186"/>
    </row>
    <row r="80" spans="1:37" s="7" customFormat="1" ht="26" customHeight="1" x14ac:dyDescent="0.25">
      <c r="A80" s="64"/>
      <c r="B80" s="70" t="str">
        <f t="shared" si="11"/>
        <v>Torposten, EGK, Streife</v>
      </c>
      <c r="C80" s="72">
        <f t="shared" ref="C80:AG80" si="13">COUNTIF(C$10:C$49, $F$100)</f>
        <v>0</v>
      </c>
      <c r="D80" s="72">
        <f t="shared" si="13"/>
        <v>0</v>
      </c>
      <c r="E80" s="72">
        <f t="shared" si="13"/>
        <v>0</v>
      </c>
      <c r="F80" s="72">
        <f t="shared" si="13"/>
        <v>0</v>
      </c>
      <c r="G80" s="72">
        <f t="shared" si="13"/>
        <v>0</v>
      </c>
      <c r="H80" s="72">
        <f t="shared" si="13"/>
        <v>0</v>
      </c>
      <c r="I80" s="72">
        <f t="shared" si="13"/>
        <v>0</v>
      </c>
      <c r="J80" s="72">
        <f t="shared" si="13"/>
        <v>0</v>
      </c>
      <c r="K80" s="72">
        <f t="shared" si="13"/>
        <v>0</v>
      </c>
      <c r="L80" s="72">
        <f t="shared" si="13"/>
        <v>0</v>
      </c>
      <c r="M80" s="72">
        <f t="shared" si="13"/>
        <v>0</v>
      </c>
      <c r="N80" s="72">
        <f t="shared" si="13"/>
        <v>0</v>
      </c>
      <c r="O80" s="72">
        <f t="shared" si="13"/>
        <v>0</v>
      </c>
      <c r="P80" s="72">
        <f t="shared" si="13"/>
        <v>0</v>
      </c>
      <c r="Q80" s="72">
        <f t="shared" si="13"/>
        <v>0</v>
      </c>
      <c r="R80" s="72">
        <f t="shared" si="13"/>
        <v>0</v>
      </c>
      <c r="S80" s="72">
        <f t="shared" si="13"/>
        <v>0</v>
      </c>
      <c r="T80" s="72">
        <f t="shared" si="13"/>
        <v>0</v>
      </c>
      <c r="U80" s="72">
        <f t="shared" si="13"/>
        <v>0</v>
      </c>
      <c r="V80" s="72">
        <f t="shared" si="13"/>
        <v>0</v>
      </c>
      <c r="W80" s="72">
        <f t="shared" si="13"/>
        <v>0</v>
      </c>
      <c r="X80" s="72">
        <f t="shared" si="13"/>
        <v>0</v>
      </c>
      <c r="Y80" s="72">
        <f t="shared" si="13"/>
        <v>0</v>
      </c>
      <c r="Z80" s="72">
        <f t="shared" si="13"/>
        <v>0</v>
      </c>
      <c r="AA80" s="72">
        <f t="shared" si="13"/>
        <v>0</v>
      </c>
      <c r="AB80" s="72">
        <f t="shared" si="13"/>
        <v>0</v>
      </c>
      <c r="AC80" s="72">
        <f t="shared" si="13"/>
        <v>0</v>
      </c>
      <c r="AD80" s="72">
        <f t="shared" si="13"/>
        <v>0</v>
      </c>
      <c r="AE80" s="72">
        <f t="shared" si="13"/>
        <v>0</v>
      </c>
      <c r="AF80" s="72">
        <f t="shared" si="13"/>
        <v>0</v>
      </c>
      <c r="AG80" s="73">
        <f t="shared" si="13"/>
        <v>0</v>
      </c>
      <c r="AH80" s="27"/>
      <c r="AI80" s="186"/>
    </row>
    <row r="81" spans="1:54" s="7" customFormat="1" ht="26" customHeight="1" x14ac:dyDescent="0.25">
      <c r="A81" s="64"/>
      <c r="B81" s="70" t="str">
        <f t="shared" si="11"/>
        <v/>
      </c>
      <c r="C81" s="72">
        <f t="shared" ref="C81:AG81" si="14">COUNTIF(C$10:C$49, $F$101)</f>
        <v>0</v>
      </c>
      <c r="D81" s="72">
        <f t="shared" si="14"/>
        <v>0</v>
      </c>
      <c r="E81" s="72">
        <f t="shared" si="14"/>
        <v>0</v>
      </c>
      <c r="F81" s="72">
        <f t="shared" si="14"/>
        <v>0</v>
      </c>
      <c r="G81" s="72">
        <f t="shared" si="14"/>
        <v>0</v>
      </c>
      <c r="H81" s="72">
        <f t="shared" si="14"/>
        <v>0</v>
      </c>
      <c r="I81" s="72">
        <f t="shared" si="14"/>
        <v>0</v>
      </c>
      <c r="J81" s="72">
        <f t="shared" si="14"/>
        <v>0</v>
      </c>
      <c r="K81" s="72">
        <f t="shared" si="14"/>
        <v>0</v>
      </c>
      <c r="L81" s="72">
        <f t="shared" si="14"/>
        <v>0</v>
      </c>
      <c r="M81" s="72">
        <f t="shared" si="14"/>
        <v>0</v>
      </c>
      <c r="N81" s="72">
        <f t="shared" si="14"/>
        <v>0</v>
      </c>
      <c r="O81" s="72">
        <f t="shared" si="14"/>
        <v>0</v>
      </c>
      <c r="P81" s="72">
        <f t="shared" si="14"/>
        <v>0</v>
      </c>
      <c r="Q81" s="72">
        <f t="shared" si="14"/>
        <v>0</v>
      </c>
      <c r="R81" s="72">
        <f t="shared" si="14"/>
        <v>0</v>
      </c>
      <c r="S81" s="72">
        <f t="shared" si="14"/>
        <v>0</v>
      </c>
      <c r="T81" s="72">
        <f t="shared" si="14"/>
        <v>0</v>
      </c>
      <c r="U81" s="72">
        <f t="shared" si="14"/>
        <v>0</v>
      </c>
      <c r="V81" s="72">
        <f t="shared" si="14"/>
        <v>0</v>
      </c>
      <c r="W81" s="72">
        <f t="shared" si="14"/>
        <v>0</v>
      </c>
      <c r="X81" s="72">
        <f t="shared" si="14"/>
        <v>0</v>
      </c>
      <c r="Y81" s="72">
        <f t="shared" si="14"/>
        <v>0</v>
      </c>
      <c r="Z81" s="72">
        <f t="shared" si="14"/>
        <v>0</v>
      </c>
      <c r="AA81" s="72">
        <f t="shared" si="14"/>
        <v>0</v>
      </c>
      <c r="AB81" s="72">
        <f t="shared" si="14"/>
        <v>0</v>
      </c>
      <c r="AC81" s="72">
        <f t="shared" si="14"/>
        <v>0</v>
      </c>
      <c r="AD81" s="72">
        <f t="shared" si="14"/>
        <v>0</v>
      </c>
      <c r="AE81" s="72">
        <f t="shared" si="14"/>
        <v>0</v>
      </c>
      <c r="AF81" s="72">
        <f t="shared" si="14"/>
        <v>0</v>
      </c>
      <c r="AG81" s="73">
        <f t="shared" si="14"/>
        <v>0</v>
      </c>
      <c r="AH81" s="27"/>
      <c r="AI81" s="186"/>
    </row>
    <row r="82" spans="1:54" s="7" customFormat="1" ht="26" customHeight="1" x14ac:dyDescent="0.25">
      <c r="A82" s="64"/>
      <c r="B82" s="70" t="str">
        <f t="shared" si="11"/>
        <v/>
      </c>
      <c r="C82" s="72">
        <f t="shared" ref="C82:AG82" si="15">COUNTIF(C$10:C$49, $F$102)</f>
        <v>0</v>
      </c>
      <c r="D82" s="72">
        <f t="shared" si="15"/>
        <v>0</v>
      </c>
      <c r="E82" s="72">
        <f t="shared" si="15"/>
        <v>0</v>
      </c>
      <c r="F82" s="72">
        <f t="shared" si="15"/>
        <v>0</v>
      </c>
      <c r="G82" s="72">
        <f t="shared" si="15"/>
        <v>0</v>
      </c>
      <c r="H82" s="72">
        <f t="shared" si="15"/>
        <v>0</v>
      </c>
      <c r="I82" s="72">
        <f t="shared" si="15"/>
        <v>0</v>
      </c>
      <c r="J82" s="72">
        <f t="shared" si="15"/>
        <v>0</v>
      </c>
      <c r="K82" s="72">
        <f t="shared" si="15"/>
        <v>0</v>
      </c>
      <c r="L82" s="72">
        <f t="shared" si="15"/>
        <v>0</v>
      </c>
      <c r="M82" s="72">
        <f t="shared" si="15"/>
        <v>0</v>
      </c>
      <c r="N82" s="72">
        <f t="shared" si="15"/>
        <v>0</v>
      </c>
      <c r="O82" s="72">
        <f t="shared" si="15"/>
        <v>0</v>
      </c>
      <c r="P82" s="72">
        <f t="shared" si="15"/>
        <v>0</v>
      </c>
      <c r="Q82" s="72">
        <f t="shared" si="15"/>
        <v>0</v>
      </c>
      <c r="R82" s="72">
        <f t="shared" si="15"/>
        <v>0</v>
      </c>
      <c r="S82" s="72">
        <f t="shared" si="15"/>
        <v>0</v>
      </c>
      <c r="T82" s="72">
        <f t="shared" si="15"/>
        <v>0</v>
      </c>
      <c r="U82" s="72">
        <f t="shared" si="15"/>
        <v>0</v>
      </c>
      <c r="V82" s="72">
        <f t="shared" si="15"/>
        <v>0</v>
      </c>
      <c r="W82" s="72">
        <f t="shared" si="15"/>
        <v>0</v>
      </c>
      <c r="X82" s="72">
        <f t="shared" si="15"/>
        <v>0</v>
      </c>
      <c r="Y82" s="72">
        <f t="shared" si="15"/>
        <v>0</v>
      </c>
      <c r="Z82" s="72">
        <f t="shared" si="15"/>
        <v>0</v>
      </c>
      <c r="AA82" s="72">
        <f t="shared" si="15"/>
        <v>0</v>
      </c>
      <c r="AB82" s="72">
        <f t="shared" si="15"/>
        <v>0</v>
      </c>
      <c r="AC82" s="72">
        <f t="shared" si="15"/>
        <v>0</v>
      </c>
      <c r="AD82" s="72">
        <f t="shared" si="15"/>
        <v>0</v>
      </c>
      <c r="AE82" s="72">
        <f t="shared" si="15"/>
        <v>0</v>
      </c>
      <c r="AF82" s="72">
        <f t="shared" si="15"/>
        <v>0</v>
      </c>
      <c r="AG82" s="73">
        <f t="shared" si="15"/>
        <v>0</v>
      </c>
      <c r="AH82" s="27"/>
      <c r="AI82" s="186"/>
    </row>
    <row r="83" spans="1:54" s="7" customFormat="1" ht="26" customHeight="1" x14ac:dyDescent="0.25">
      <c r="A83" s="64"/>
      <c r="B83" s="70" t="str">
        <f t="shared" si="11"/>
        <v/>
      </c>
      <c r="C83" s="72">
        <f t="shared" ref="C83:AG83" si="16">COUNTIF(C$10:C$49, $F$103)</f>
        <v>0</v>
      </c>
      <c r="D83" s="72">
        <f t="shared" si="16"/>
        <v>0</v>
      </c>
      <c r="E83" s="72">
        <f t="shared" si="16"/>
        <v>0</v>
      </c>
      <c r="F83" s="72">
        <f t="shared" si="16"/>
        <v>0</v>
      </c>
      <c r="G83" s="72">
        <f t="shared" si="16"/>
        <v>0</v>
      </c>
      <c r="H83" s="72">
        <f t="shared" si="16"/>
        <v>0</v>
      </c>
      <c r="I83" s="72">
        <f t="shared" si="16"/>
        <v>0</v>
      </c>
      <c r="J83" s="72">
        <f t="shared" si="16"/>
        <v>0</v>
      </c>
      <c r="K83" s="72">
        <f t="shared" si="16"/>
        <v>0</v>
      </c>
      <c r="L83" s="72">
        <f t="shared" si="16"/>
        <v>0</v>
      </c>
      <c r="M83" s="72">
        <f t="shared" si="16"/>
        <v>0</v>
      </c>
      <c r="N83" s="72">
        <f t="shared" si="16"/>
        <v>0</v>
      </c>
      <c r="O83" s="72">
        <f t="shared" si="16"/>
        <v>0</v>
      </c>
      <c r="P83" s="72">
        <f t="shared" si="16"/>
        <v>0</v>
      </c>
      <c r="Q83" s="72">
        <f t="shared" si="16"/>
        <v>0</v>
      </c>
      <c r="R83" s="72">
        <f t="shared" si="16"/>
        <v>0</v>
      </c>
      <c r="S83" s="72">
        <f t="shared" si="16"/>
        <v>0</v>
      </c>
      <c r="T83" s="72">
        <f t="shared" si="16"/>
        <v>0</v>
      </c>
      <c r="U83" s="72">
        <f t="shared" si="16"/>
        <v>0</v>
      </c>
      <c r="V83" s="72">
        <f t="shared" si="16"/>
        <v>0</v>
      </c>
      <c r="W83" s="72">
        <f t="shared" si="16"/>
        <v>0</v>
      </c>
      <c r="X83" s="72">
        <f t="shared" si="16"/>
        <v>0</v>
      </c>
      <c r="Y83" s="72">
        <f t="shared" si="16"/>
        <v>0</v>
      </c>
      <c r="Z83" s="72">
        <f t="shared" si="16"/>
        <v>0</v>
      </c>
      <c r="AA83" s="72">
        <f t="shared" si="16"/>
        <v>0</v>
      </c>
      <c r="AB83" s="72">
        <f t="shared" si="16"/>
        <v>0</v>
      </c>
      <c r="AC83" s="72">
        <f t="shared" si="16"/>
        <v>0</v>
      </c>
      <c r="AD83" s="72">
        <f t="shared" si="16"/>
        <v>0</v>
      </c>
      <c r="AE83" s="72">
        <f t="shared" si="16"/>
        <v>0</v>
      </c>
      <c r="AF83" s="72">
        <f t="shared" si="16"/>
        <v>0</v>
      </c>
      <c r="AG83" s="73">
        <f t="shared" si="16"/>
        <v>0</v>
      </c>
      <c r="AH83" s="27"/>
      <c r="AI83" s="186"/>
    </row>
    <row r="84" spans="1:54" s="7" customFormat="1" ht="26" customHeight="1" x14ac:dyDescent="0.25">
      <c r="A84" s="64"/>
      <c r="B84" s="70" t="str">
        <f t="shared" si="11"/>
        <v/>
      </c>
      <c r="C84" s="38">
        <f t="shared" ref="C84:AG84" si="17">COUNTIF(C$10:C$49, $F$104)</f>
        <v>0</v>
      </c>
      <c r="D84" s="38">
        <f t="shared" si="17"/>
        <v>0</v>
      </c>
      <c r="E84" s="38">
        <f t="shared" si="17"/>
        <v>0</v>
      </c>
      <c r="F84" s="38">
        <f t="shared" si="17"/>
        <v>0</v>
      </c>
      <c r="G84" s="38">
        <f t="shared" si="17"/>
        <v>0</v>
      </c>
      <c r="H84" s="38">
        <f t="shared" si="17"/>
        <v>0</v>
      </c>
      <c r="I84" s="38">
        <f t="shared" si="17"/>
        <v>0</v>
      </c>
      <c r="J84" s="38">
        <f t="shared" si="17"/>
        <v>0</v>
      </c>
      <c r="K84" s="38">
        <f t="shared" si="17"/>
        <v>0</v>
      </c>
      <c r="L84" s="38">
        <f t="shared" si="17"/>
        <v>0</v>
      </c>
      <c r="M84" s="38">
        <f t="shared" si="17"/>
        <v>0</v>
      </c>
      <c r="N84" s="38">
        <f t="shared" si="17"/>
        <v>0</v>
      </c>
      <c r="O84" s="38">
        <f t="shared" si="17"/>
        <v>0</v>
      </c>
      <c r="P84" s="38">
        <f t="shared" si="17"/>
        <v>0</v>
      </c>
      <c r="Q84" s="38">
        <f t="shared" si="17"/>
        <v>0</v>
      </c>
      <c r="R84" s="38">
        <f t="shared" si="17"/>
        <v>0</v>
      </c>
      <c r="S84" s="38">
        <f t="shared" si="17"/>
        <v>0</v>
      </c>
      <c r="T84" s="38">
        <f t="shared" si="17"/>
        <v>0</v>
      </c>
      <c r="U84" s="38">
        <f t="shared" si="17"/>
        <v>0</v>
      </c>
      <c r="V84" s="38">
        <f t="shared" si="17"/>
        <v>0</v>
      </c>
      <c r="W84" s="38">
        <f t="shared" si="17"/>
        <v>0</v>
      </c>
      <c r="X84" s="38">
        <f t="shared" si="17"/>
        <v>0</v>
      </c>
      <c r="Y84" s="38">
        <f t="shared" si="17"/>
        <v>0</v>
      </c>
      <c r="Z84" s="38">
        <f t="shared" si="17"/>
        <v>0</v>
      </c>
      <c r="AA84" s="38">
        <f t="shared" si="17"/>
        <v>0</v>
      </c>
      <c r="AB84" s="38">
        <f t="shared" si="17"/>
        <v>0</v>
      </c>
      <c r="AC84" s="38">
        <f t="shared" si="17"/>
        <v>0</v>
      </c>
      <c r="AD84" s="38">
        <f t="shared" si="17"/>
        <v>0</v>
      </c>
      <c r="AE84" s="38">
        <f t="shared" si="17"/>
        <v>0</v>
      </c>
      <c r="AF84" s="38">
        <f t="shared" si="17"/>
        <v>0</v>
      </c>
      <c r="AG84" s="74">
        <f t="shared" si="17"/>
        <v>0</v>
      </c>
      <c r="AH84" s="27"/>
      <c r="AI84" s="186"/>
    </row>
    <row r="85" spans="1:54" s="7" customFormat="1" ht="26" customHeight="1" x14ac:dyDescent="0.25">
      <c r="A85" s="64"/>
      <c r="B85" s="70" t="str">
        <f t="shared" si="11"/>
        <v/>
      </c>
      <c r="C85" s="38">
        <f t="shared" ref="C85:AG85" si="18">COUNTIF(C$10:C$49, $F$105)</f>
        <v>0</v>
      </c>
      <c r="D85" s="38">
        <f t="shared" si="18"/>
        <v>0</v>
      </c>
      <c r="E85" s="38">
        <f t="shared" si="18"/>
        <v>0</v>
      </c>
      <c r="F85" s="38">
        <f t="shared" si="18"/>
        <v>0</v>
      </c>
      <c r="G85" s="38">
        <f t="shared" si="18"/>
        <v>0</v>
      </c>
      <c r="H85" s="38">
        <f t="shared" si="18"/>
        <v>0</v>
      </c>
      <c r="I85" s="38">
        <f t="shared" si="18"/>
        <v>0</v>
      </c>
      <c r="J85" s="38">
        <f t="shared" si="18"/>
        <v>0</v>
      </c>
      <c r="K85" s="38">
        <f t="shared" si="18"/>
        <v>0</v>
      </c>
      <c r="L85" s="38">
        <f t="shared" si="18"/>
        <v>0</v>
      </c>
      <c r="M85" s="38">
        <f t="shared" si="18"/>
        <v>0</v>
      </c>
      <c r="N85" s="38">
        <f t="shared" si="18"/>
        <v>0</v>
      </c>
      <c r="O85" s="38">
        <f t="shared" si="18"/>
        <v>0</v>
      </c>
      <c r="P85" s="38">
        <f t="shared" si="18"/>
        <v>0</v>
      </c>
      <c r="Q85" s="38">
        <f t="shared" si="18"/>
        <v>0</v>
      </c>
      <c r="R85" s="38">
        <f t="shared" si="18"/>
        <v>0</v>
      </c>
      <c r="S85" s="38">
        <f t="shared" si="18"/>
        <v>0</v>
      </c>
      <c r="T85" s="38">
        <f t="shared" si="18"/>
        <v>0</v>
      </c>
      <c r="U85" s="38">
        <f t="shared" si="18"/>
        <v>0</v>
      </c>
      <c r="V85" s="38">
        <f t="shared" si="18"/>
        <v>0</v>
      </c>
      <c r="W85" s="38">
        <f t="shared" si="18"/>
        <v>0</v>
      </c>
      <c r="X85" s="38">
        <f t="shared" si="18"/>
        <v>0</v>
      </c>
      <c r="Y85" s="38">
        <f t="shared" si="18"/>
        <v>0</v>
      </c>
      <c r="Z85" s="38">
        <f t="shared" si="18"/>
        <v>0</v>
      </c>
      <c r="AA85" s="38">
        <f t="shared" si="18"/>
        <v>0</v>
      </c>
      <c r="AB85" s="38">
        <f t="shared" si="18"/>
        <v>0</v>
      </c>
      <c r="AC85" s="38">
        <f t="shared" si="18"/>
        <v>0</v>
      </c>
      <c r="AD85" s="38">
        <f t="shared" si="18"/>
        <v>0</v>
      </c>
      <c r="AE85" s="38">
        <f t="shared" si="18"/>
        <v>0</v>
      </c>
      <c r="AF85" s="38">
        <f t="shared" si="18"/>
        <v>0</v>
      </c>
      <c r="AG85" s="74">
        <f t="shared" si="18"/>
        <v>0</v>
      </c>
      <c r="AH85" s="27"/>
      <c r="AI85" s="186"/>
    </row>
    <row r="86" spans="1:54" s="7" customFormat="1" ht="26" customHeight="1" x14ac:dyDescent="0.25">
      <c r="A86" s="64"/>
      <c r="B86" s="70" t="str">
        <f t="shared" si="11"/>
        <v/>
      </c>
      <c r="C86" s="38">
        <f t="shared" ref="C86:AG86" si="19">COUNTIF(C$10:C$49, $F$106)</f>
        <v>0</v>
      </c>
      <c r="D86" s="38">
        <f t="shared" si="19"/>
        <v>0</v>
      </c>
      <c r="E86" s="38">
        <f t="shared" si="19"/>
        <v>0</v>
      </c>
      <c r="F86" s="38">
        <f t="shared" si="19"/>
        <v>0</v>
      </c>
      <c r="G86" s="38">
        <f t="shared" si="19"/>
        <v>0</v>
      </c>
      <c r="H86" s="38">
        <f t="shared" si="19"/>
        <v>0</v>
      </c>
      <c r="I86" s="38">
        <f t="shared" si="19"/>
        <v>0</v>
      </c>
      <c r="J86" s="38">
        <f t="shared" si="19"/>
        <v>0</v>
      </c>
      <c r="K86" s="38">
        <f t="shared" si="19"/>
        <v>0</v>
      </c>
      <c r="L86" s="38">
        <f t="shared" si="19"/>
        <v>0</v>
      </c>
      <c r="M86" s="38">
        <f t="shared" si="19"/>
        <v>0</v>
      </c>
      <c r="N86" s="38">
        <f t="shared" si="19"/>
        <v>0</v>
      </c>
      <c r="O86" s="38">
        <f t="shared" si="19"/>
        <v>0</v>
      </c>
      <c r="P86" s="38">
        <f t="shared" si="19"/>
        <v>0</v>
      </c>
      <c r="Q86" s="38">
        <f t="shared" si="19"/>
        <v>0</v>
      </c>
      <c r="R86" s="38">
        <f t="shared" si="19"/>
        <v>0</v>
      </c>
      <c r="S86" s="38">
        <f t="shared" si="19"/>
        <v>0</v>
      </c>
      <c r="T86" s="38">
        <f t="shared" si="19"/>
        <v>0</v>
      </c>
      <c r="U86" s="38">
        <f t="shared" si="19"/>
        <v>0</v>
      </c>
      <c r="V86" s="38">
        <f t="shared" si="19"/>
        <v>0</v>
      </c>
      <c r="W86" s="38">
        <f t="shared" si="19"/>
        <v>0</v>
      </c>
      <c r="X86" s="38">
        <f t="shared" si="19"/>
        <v>0</v>
      </c>
      <c r="Y86" s="38">
        <f t="shared" si="19"/>
        <v>0</v>
      </c>
      <c r="Z86" s="38">
        <f t="shared" si="19"/>
        <v>0</v>
      </c>
      <c r="AA86" s="38">
        <f t="shared" si="19"/>
        <v>0</v>
      </c>
      <c r="AB86" s="38">
        <f t="shared" si="19"/>
        <v>0</v>
      </c>
      <c r="AC86" s="38">
        <f t="shared" si="19"/>
        <v>0</v>
      </c>
      <c r="AD86" s="38">
        <f t="shared" si="19"/>
        <v>0</v>
      </c>
      <c r="AE86" s="38">
        <f t="shared" si="19"/>
        <v>0</v>
      </c>
      <c r="AF86" s="38">
        <f t="shared" si="19"/>
        <v>0</v>
      </c>
      <c r="AG86" s="74">
        <f t="shared" si="19"/>
        <v>0</v>
      </c>
      <c r="AH86" s="27"/>
      <c r="AI86" s="186"/>
    </row>
    <row r="87" spans="1:54" s="7" customFormat="1" ht="26" customHeight="1" x14ac:dyDescent="0.25">
      <c r="A87" s="64"/>
      <c r="B87" s="70" t="str">
        <f>IF(B107="", "", B107)</f>
        <v/>
      </c>
      <c r="C87" s="38">
        <f t="shared" ref="C87:R88" si="20">COUNTIF(C$10:C$49, $F$107)</f>
        <v>0</v>
      </c>
      <c r="D87" s="38">
        <f t="shared" si="20"/>
        <v>0</v>
      </c>
      <c r="E87" s="38">
        <f t="shared" si="20"/>
        <v>0</v>
      </c>
      <c r="F87" s="38">
        <f t="shared" si="20"/>
        <v>0</v>
      </c>
      <c r="G87" s="38">
        <f t="shared" si="20"/>
        <v>0</v>
      </c>
      <c r="H87" s="38">
        <f t="shared" si="20"/>
        <v>0</v>
      </c>
      <c r="I87" s="38">
        <f t="shared" si="20"/>
        <v>0</v>
      </c>
      <c r="J87" s="38">
        <f t="shared" si="20"/>
        <v>0</v>
      </c>
      <c r="K87" s="38">
        <f t="shared" si="20"/>
        <v>0</v>
      </c>
      <c r="L87" s="38">
        <f t="shared" si="20"/>
        <v>0</v>
      </c>
      <c r="M87" s="38">
        <f t="shared" si="20"/>
        <v>0</v>
      </c>
      <c r="N87" s="38">
        <f t="shared" si="20"/>
        <v>0</v>
      </c>
      <c r="O87" s="38">
        <f t="shared" si="20"/>
        <v>0</v>
      </c>
      <c r="P87" s="38">
        <f t="shared" si="20"/>
        <v>0</v>
      </c>
      <c r="Q87" s="38">
        <f t="shared" si="20"/>
        <v>0</v>
      </c>
      <c r="R87" s="38">
        <f t="shared" si="20"/>
        <v>0</v>
      </c>
      <c r="S87" s="38">
        <f t="shared" ref="S87:AG88" si="21">COUNTIF(S$10:S$49, $F$107)</f>
        <v>0</v>
      </c>
      <c r="T87" s="38">
        <f t="shared" si="21"/>
        <v>0</v>
      </c>
      <c r="U87" s="38">
        <f t="shared" si="21"/>
        <v>0</v>
      </c>
      <c r="V87" s="38">
        <f t="shared" si="21"/>
        <v>0</v>
      </c>
      <c r="W87" s="38">
        <f t="shared" si="21"/>
        <v>0</v>
      </c>
      <c r="X87" s="38">
        <f t="shared" si="21"/>
        <v>0</v>
      </c>
      <c r="Y87" s="38">
        <f t="shared" si="21"/>
        <v>0</v>
      </c>
      <c r="Z87" s="38">
        <f t="shared" si="21"/>
        <v>0</v>
      </c>
      <c r="AA87" s="38">
        <f t="shared" si="21"/>
        <v>0</v>
      </c>
      <c r="AB87" s="38">
        <f t="shared" si="21"/>
        <v>0</v>
      </c>
      <c r="AC87" s="38">
        <f t="shared" si="21"/>
        <v>0</v>
      </c>
      <c r="AD87" s="38">
        <f t="shared" si="21"/>
        <v>0</v>
      </c>
      <c r="AE87" s="38">
        <f t="shared" si="21"/>
        <v>0</v>
      </c>
      <c r="AF87" s="38">
        <f t="shared" si="21"/>
        <v>0</v>
      </c>
      <c r="AG87" s="74">
        <f t="shared" si="21"/>
        <v>0</v>
      </c>
      <c r="AH87" s="27"/>
      <c r="AI87" s="186"/>
    </row>
    <row r="88" spans="1:54" s="4" customFormat="1" ht="26" customHeight="1" thickBot="1" x14ac:dyDescent="0.4">
      <c r="A88" s="63"/>
      <c r="B88" s="71" t="str">
        <f>IF(B108="", "", B108)</f>
        <v/>
      </c>
      <c r="C88" s="39">
        <f t="shared" si="20"/>
        <v>0</v>
      </c>
      <c r="D88" s="39">
        <f t="shared" si="20"/>
        <v>0</v>
      </c>
      <c r="E88" s="39">
        <f t="shared" si="20"/>
        <v>0</v>
      </c>
      <c r="F88" s="39">
        <f t="shared" si="20"/>
        <v>0</v>
      </c>
      <c r="G88" s="39">
        <f t="shared" si="20"/>
        <v>0</v>
      </c>
      <c r="H88" s="39">
        <f t="shared" si="20"/>
        <v>0</v>
      </c>
      <c r="I88" s="39">
        <f t="shared" si="20"/>
        <v>0</v>
      </c>
      <c r="J88" s="39">
        <f t="shared" si="20"/>
        <v>0</v>
      </c>
      <c r="K88" s="39">
        <f t="shared" si="20"/>
        <v>0</v>
      </c>
      <c r="L88" s="39">
        <f t="shared" si="20"/>
        <v>0</v>
      </c>
      <c r="M88" s="39">
        <f t="shared" si="20"/>
        <v>0</v>
      </c>
      <c r="N88" s="39">
        <f t="shared" si="20"/>
        <v>0</v>
      </c>
      <c r="O88" s="39">
        <f t="shared" si="20"/>
        <v>0</v>
      </c>
      <c r="P88" s="39">
        <f t="shared" si="20"/>
        <v>0</v>
      </c>
      <c r="Q88" s="39">
        <f t="shared" si="20"/>
        <v>0</v>
      </c>
      <c r="R88" s="39">
        <f t="shared" si="20"/>
        <v>0</v>
      </c>
      <c r="S88" s="39">
        <f t="shared" si="21"/>
        <v>0</v>
      </c>
      <c r="T88" s="39">
        <f t="shared" si="21"/>
        <v>0</v>
      </c>
      <c r="U88" s="39">
        <f t="shared" si="21"/>
        <v>0</v>
      </c>
      <c r="V88" s="39">
        <f t="shared" si="21"/>
        <v>0</v>
      </c>
      <c r="W88" s="39">
        <f t="shared" si="21"/>
        <v>0</v>
      </c>
      <c r="X88" s="39">
        <f t="shared" si="21"/>
        <v>0</v>
      </c>
      <c r="Y88" s="39">
        <f t="shared" si="21"/>
        <v>0</v>
      </c>
      <c r="Z88" s="39">
        <f t="shared" si="21"/>
        <v>0</v>
      </c>
      <c r="AA88" s="39">
        <f t="shared" si="21"/>
        <v>0</v>
      </c>
      <c r="AB88" s="39">
        <f t="shared" si="21"/>
        <v>0</v>
      </c>
      <c r="AC88" s="39">
        <f t="shared" si="21"/>
        <v>0</v>
      </c>
      <c r="AD88" s="39">
        <f t="shared" si="21"/>
        <v>0</v>
      </c>
      <c r="AE88" s="39">
        <f t="shared" si="21"/>
        <v>0</v>
      </c>
      <c r="AF88" s="39">
        <f t="shared" si="21"/>
        <v>0</v>
      </c>
      <c r="AG88" s="75">
        <f t="shared" si="21"/>
        <v>0</v>
      </c>
      <c r="AH88" s="5"/>
      <c r="AI88" s="187"/>
    </row>
    <row r="89" spans="1:54" s="27" customFormat="1" ht="26" customHeight="1" x14ac:dyDescent="0.25">
      <c r="A89" s="64"/>
      <c r="B89" s="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88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</row>
    <row r="90" spans="1:54" s="5" customFormat="1" ht="26" customHeight="1" x14ac:dyDescent="0.35">
      <c r="A90" s="63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4"/>
      <c r="AI90" s="189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s="7" customFormat="1" ht="26" customHeight="1" x14ac:dyDescent="0.25">
      <c r="A91" s="26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I91" s="190"/>
    </row>
    <row r="92" spans="1:54" s="7" customFormat="1" ht="26" customHeight="1" x14ac:dyDescent="0.25">
      <c r="A92" s="64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I92" s="190"/>
    </row>
    <row r="93" spans="1:54" s="4" customFormat="1" ht="26" customHeight="1" thickBot="1" x14ac:dyDescent="0.4">
      <c r="A93" s="63"/>
      <c r="AI93" s="189"/>
    </row>
    <row r="94" spans="1:54" s="4" customFormat="1" ht="39" customHeight="1" thickBot="1" x14ac:dyDescent="0.4">
      <c r="A94" s="63"/>
      <c r="B94" s="17" t="s">
        <v>25</v>
      </c>
      <c r="C94" s="254">
        <f>Einstellungen!B3</f>
        <v>2025</v>
      </c>
      <c r="D94" s="255"/>
      <c r="E94" s="255"/>
      <c r="F94" s="255"/>
      <c r="G94" s="255"/>
      <c r="H94" s="255"/>
      <c r="AI94" s="189"/>
    </row>
    <row r="95" spans="1:54" s="2" customFormat="1" ht="26" customHeight="1" x14ac:dyDescent="0.35">
      <c r="A95" s="63"/>
      <c r="B95" s="28" t="s">
        <v>22</v>
      </c>
      <c r="C95" s="256">
        <v>12</v>
      </c>
      <c r="D95" s="257"/>
      <c r="E95" s="257"/>
      <c r="F95" s="257"/>
      <c r="G95" s="257"/>
      <c r="H95" s="258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189"/>
      <c r="AJ95" s="4"/>
      <c r="AK95" s="4"/>
    </row>
    <row r="96" spans="1:54" s="2" customFormat="1" ht="26" customHeight="1" thickBot="1" x14ac:dyDescent="0.4">
      <c r="A96" s="63"/>
      <c r="B96" s="29" t="s">
        <v>24</v>
      </c>
      <c r="C96" s="259" t="s">
        <v>69</v>
      </c>
      <c r="D96" s="260"/>
      <c r="E96" s="260"/>
      <c r="F96" s="260"/>
      <c r="G96" s="260"/>
      <c r="H96" s="261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189"/>
      <c r="AJ96" s="4"/>
      <c r="AK96" s="4"/>
    </row>
    <row r="97" spans="1:37" s="2" customFormat="1" ht="26" customHeight="1" thickBot="1" x14ac:dyDescent="0.4">
      <c r="A97" s="63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189"/>
      <c r="AJ97" s="4"/>
      <c r="AK97" s="4"/>
    </row>
    <row r="98" spans="1:37" s="2" customFormat="1" ht="39" customHeight="1" thickBot="1" x14ac:dyDescent="0.4">
      <c r="A98" s="63"/>
      <c r="B98" s="121" t="s">
        <v>33</v>
      </c>
      <c r="C98" s="262" t="s">
        <v>34</v>
      </c>
      <c r="D98" s="263"/>
      <c r="E98" s="263"/>
      <c r="F98" s="262" t="s">
        <v>35</v>
      </c>
      <c r="G98" s="263"/>
      <c r="H98" s="264"/>
      <c r="I98" s="265"/>
      <c r="J98" s="265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189"/>
      <c r="AJ98" s="4"/>
      <c r="AK98" s="4"/>
    </row>
    <row r="99" spans="1:37" s="2" customFormat="1" ht="26" customHeight="1" x14ac:dyDescent="0.35">
      <c r="A99" s="63"/>
      <c r="B99" s="120" t="s">
        <v>97</v>
      </c>
      <c r="C99" s="249">
        <v>1</v>
      </c>
      <c r="D99" s="250"/>
      <c r="E99" s="250"/>
      <c r="F99" s="250" t="s">
        <v>90</v>
      </c>
      <c r="G99" s="250"/>
      <c r="H99" s="251"/>
      <c r="I99" s="248"/>
      <c r="J99" s="248"/>
      <c r="K99" s="4"/>
      <c r="L99" s="4"/>
      <c r="M99" s="4"/>
      <c r="N99" s="4"/>
      <c r="O99" s="4"/>
      <c r="P99" s="4"/>
      <c r="Q99" s="40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189"/>
      <c r="AJ99" s="4"/>
      <c r="AK99" s="4"/>
    </row>
    <row r="100" spans="1:37" s="2" customFormat="1" ht="26" customHeight="1" x14ac:dyDescent="0.4">
      <c r="A100" s="63"/>
      <c r="B100" s="118" t="s">
        <v>96</v>
      </c>
      <c r="C100" s="245">
        <v>3</v>
      </c>
      <c r="D100" s="246"/>
      <c r="E100" s="246"/>
      <c r="F100" s="246" t="s">
        <v>91</v>
      </c>
      <c r="G100" s="246"/>
      <c r="H100" s="247"/>
      <c r="I100" s="248"/>
      <c r="J100" s="248"/>
      <c r="K100" s="4"/>
      <c r="L100" s="4"/>
      <c r="M100" s="4"/>
      <c r="N100" s="4"/>
      <c r="O100" s="4"/>
      <c r="P100" s="4"/>
      <c r="Q100" s="42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189"/>
      <c r="AJ100" s="4"/>
      <c r="AK100" s="4"/>
    </row>
    <row r="101" spans="1:37" s="2" customFormat="1" ht="26" customHeight="1" x14ac:dyDescent="0.4">
      <c r="A101" s="63"/>
      <c r="B101" s="118"/>
      <c r="C101" s="245"/>
      <c r="D101" s="246"/>
      <c r="E101" s="246"/>
      <c r="F101" s="246"/>
      <c r="G101" s="246"/>
      <c r="H101" s="247"/>
      <c r="I101" s="248"/>
      <c r="J101" s="248"/>
      <c r="K101" s="4"/>
      <c r="L101" s="4"/>
      <c r="M101" s="4"/>
      <c r="N101" s="4"/>
      <c r="O101" s="4"/>
      <c r="P101" s="4"/>
      <c r="Q101" s="41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189"/>
      <c r="AJ101" s="4"/>
      <c r="AK101" s="4"/>
    </row>
    <row r="102" spans="1:37" s="2" customFormat="1" ht="26" customHeight="1" x14ac:dyDescent="0.4">
      <c r="A102" s="63"/>
      <c r="B102" s="118"/>
      <c r="C102" s="245"/>
      <c r="D102" s="246"/>
      <c r="E102" s="246"/>
      <c r="F102" s="246"/>
      <c r="G102" s="246"/>
      <c r="H102" s="247"/>
      <c r="I102" s="248"/>
      <c r="J102" s="248"/>
      <c r="K102" s="4"/>
      <c r="L102" s="4"/>
      <c r="M102" s="4"/>
      <c r="N102" s="4"/>
      <c r="O102" s="4"/>
      <c r="P102" s="4"/>
      <c r="Q102" s="42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189"/>
      <c r="AJ102" s="4"/>
      <c r="AK102" s="4"/>
    </row>
    <row r="103" spans="1:37" ht="26" customHeight="1" x14ac:dyDescent="0.4">
      <c r="A103" s="63"/>
      <c r="B103" s="118"/>
      <c r="C103" s="245"/>
      <c r="D103" s="246"/>
      <c r="E103" s="246"/>
      <c r="F103" s="246"/>
      <c r="G103" s="246"/>
      <c r="H103" s="247"/>
      <c r="I103" s="248"/>
      <c r="J103" s="248"/>
      <c r="Q103" s="41"/>
    </row>
    <row r="104" spans="1:37" ht="26" customHeight="1" x14ac:dyDescent="0.4">
      <c r="A104" s="63"/>
      <c r="B104" s="118"/>
      <c r="C104" s="245"/>
      <c r="D104" s="246"/>
      <c r="E104" s="246"/>
      <c r="F104" s="246"/>
      <c r="G104" s="246"/>
      <c r="H104" s="247"/>
      <c r="I104" s="248"/>
      <c r="J104" s="248"/>
      <c r="Q104" s="41"/>
    </row>
    <row r="105" spans="1:37" ht="26" customHeight="1" x14ac:dyDescent="0.4">
      <c r="B105" s="118"/>
      <c r="C105" s="245"/>
      <c r="D105" s="246"/>
      <c r="E105" s="246"/>
      <c r="F105" s="246"/>
      <c r="G105" s="246"/>
      <c r="H105" s="247"/>
      <c r="Q105" s="41"/>
    </row>
    <row r="106" spans="1:37" ht="26" customHeight="1" x14ac:dyDescent="0.4">
      <c r="B106" s="118"/>
      <c r="C106" s="245"/>
      <c r="D106" s="246"/>
      <c r="E106" s="246"/>
      <c r="F106" s="246"/>
      <c r="G106" s="246"/>
      <c r="H106" s="247"/>
      <c r="Q106" s="41"/>
    </row>
    <row r="107" spans="1:37" ht="26" customHeight="1" x14ac:dyDescent="0.4">
      <c r="B107" s="118"/>
      <c r="C107" s="245"/>
      <c r="D107" s="246"/>
      <c r="E107" s="246"/>
      <c r="F107" s="246"/>
      <c r="G107" s="246"/>
      <c r="H107" s="247"/>
      <c r="Q107" s="41"/>
    </row>
    <row r="108" spans="1:37" ht="26" customHeight="1" thickBot="1" x14ac:dyDescent="0.45">
      <c r="B108" s="119"/>
      <c r="C108" s="242"/>
      <c r="D108" s="243"/>
      <c r="E108" s="243"/>
      <c r="F108" s="243"/>
      <c r="G108" s="243"/>
      <c r="H108" s="244"/>
      <c r="Q108" s="41"/>
    </row>
    <row r="109" spans="1:37" ht="26" customHeight="1" x14ac:dyDescent="0.35">
      <c r="A109" s="63"/>
      <c r="B109" s="4"/>
      <c r="C109" s="4"/>
      <c r="D109" s="4"/>
      <c r="E109" s="4"/>
      <c r="F109" s="4"/>
      <c r="G109" s="4"/>
      <c r="H109" s="4"/>
    </row>
    <row r="110" spans="1:37" x14ac:dyDescent="0.35">
      <c r="A110" s="63"/>
      <c r="B110" s="4"/>
      <c r="C110" s="4"/>
      <c r="D110" s="4"/>
      <c r="E110" s="4"/>
      <c r="F110" s="4"/>
      <c r="G110" s="4"/>
      <c r="H110" s="4"/>
    </row>
    <row r="111" spans="1:37" ht="18" x14ac:dyDescent="0.4">
      <c r="A111" s="63"/>
      <c r="B111" s="60" t="s">
        <v>36</v>
      </c>
      <c r="C111" s="4"/>
      <c r="D111" s="4"/>
      <c r="E111" s="4"/>
      <c r="F111" s="4"/>
      <c r="G111" s="4"/>
      <c r="H111" s="4"/>
    </row>
    <row r="112" spans="1:37" x14ac:dyDescent="0.35">
      <c r="A112" s="63"/>
      <c r="B112" s="4" t="s">
        <v>54</v>
      </c>
      <c r="C112" s="4"/>
      <c r="D112" s="4"/>
      <c r="E112" s="4"/>
      <c r="F112" s="4"/>
      <c r="G112" s="4"/>
      <c r="H112" s="4"/>
    </row>
    <row r="113" spans="1:8" x14ac:dyDescent="0.35">
      <c r="A113" s="63"/>
      <c r="B113" s="4"/>
      <c r="C113" s="4"/>
      <c r="D113" s="4"/>
      <c r="E113" s="4"/>
      <c r="F113" s="4"/>
      <c r="G113" s="4"/>
      <c r="H113" s="4"/>
    </row>
  </sheetData>
  <sheetProtection formatCells="0" selectLockedCells="1"/>
  <mergeCells count="58">
    <mergeCell ref="AJ6:AJ7"/>
    <mergeCell ref="AK6:AK7"/>
    <mergeCell ref="AB56:AI56"/>
    <mergeCell ref="B57:I57"/>
    <mergeCell ref="K1:X1"/>
    <mergeCell ref="L2:W2"/>
    <mergeCell ref="L3:S3"/>
    <mergeCell ref="B6:B7"/>
    <mergeCell ref="B68:N68"/>
    <mergeCell ref="B53:I53"/>
    <mergeCell ref="B54:I54"/>
    <mergeCell ref="B55:I55"/>
    <mergeCell ref="B56:I56"/>
    <mergeCell ref="B58:I58"/>
    <mergeCell ref="AB58:AI58"/>
    <mergeCell ref="B59:I59"/>
    <mergeCell ref="B60:I60"/>
    <mergeCell ref="B67:N67"/>
    <mergeCell ref="C98:E98"/>
    <mergeCell ref="F98:H98"/>
    <mergeCell ref="I98:J98"/>
    <mergeCell ref="B69:N69"/>
    <mergeCell ref="B70:N70"/>
    <mergeCell ref="B71:N71"/>
    <mergeCell ref="B72:N72"/>
    <mergeCell ref="B73:N73"/>
    <mergeCell ref="B74:N74"/>
    <mergeCell ref="B75:N75"/>
    <mergeCell ref="B76:N76"/>
    <mergeCell ref="C94:H94"/>
    <mergeCell ref="C95:H95"/>
    <mergeCell ref="C96:H96"/>
    <mergeCell ref="C99:E99"/>
    <mergeCell ref="F99:H99"/>
    <mergeCell ref="I99:J99"/>
    <mergeCell ref="C100:E100"/>
    <mergeCell ref="F100:H100"/>
    <mergeCell ref="I100:J100"/>
    <mergeCell ref="C101:E101"/>
    <mergeCell ref="F101:H101"/>
    <mergeCell ref="I101:J101"/>
    <mergeCell ref="C102:E102"/>
    <mergeCell ref="F102:H102"/>
    <mergeCell ref="I102:J102"/>
    <mergeCell ref="C103:E103"/>
    <mergeCell ref="F103:H103"/>
    <mergeCell ref="I103:J103"/>
    <mergeCell ref="C104:E104"/>
    <mergeCell ref="F104:H104"/>
    <mergeCell ref="I104:J104"/>
    <mergeCell ref="C108:E108"/>
    <mergeCell ref="F108:H108"/>
    <mergeCell ref="C105:E105"/>
    <mergeCell ref="F105:H105"/>
    <mergeCell ref="C106:E106"/>
    <mergeCell ref="F106:H106"/>
    <mergeCell ref="C107:E107"/>
    <mergeCell ref="F107:H107"/>
  </mergeCells>
  <conditionalFormatting sqref="AK10:AK49">
    <cfRule type="cellIs" dxfId="50" priority="35" stopIfTrue="1" operator="equal">
      <formula>0</formula>
    </cfRule>
  </conditionalFormatting>
  <conditionalFormatting sqref="C6:AG9">
    <cfRule type="expression" dxfId="49" priority="33">
      <formula>C$9="FT"</formula>
    </cfRule>
    <cfRule type="expression" dxfId="48" priority="34">
      <formula>C$8&gt;5</formula>
    </cfRule>
  </conditionalFormatting>
  <conditionalFormatting sqref="B50">
    <cfRule type="expression" dxfId="47" priority="31">
      <formula>B$50="WS"</formula>
    </cfRule>
    <cfRule type="expression" dxfId="46" priority="32">
      <formula>B$50="SZ"</formula>
    </cfRule>
  </conditionalFormatting>
  <conditionalFormatting sqref="C10:AG49">
    <cfRule type="expression" dxfId="45" priority="4" stopIfTrue="1">
      <formula>C10="U"</formula>
    </cfRule>
    <cfRule type="expression" dxfId="44" priority="5">
      <formula>C10="K"</formula>
    </cfRule>
    <cfRule type="expression" dxfId="43" priority="6">
      <formula>C10="AWP"</formula>
    </cfRule>
    <cfRule type="expression" dxfId="42" priority="21" stopIfTrue="1">
      <formula>C10="TES"</formula>
    </cfRule>
    <cfRule type="expression" dxfId="41" priority="27" stopIfTrue="1">
      <formula>C10="S"</formula>
    </cfRule>
    <cfRule type="expression" dxfId="40" priority="28">
      <formula>C$9="FT"</formula>
    </cfRule>
    <cfRule type="expression" dxfId="39" priority="29">
      <formula>C$8&gt;5</formula>
    </cfRule>
    <cfRule type="expression" dxfId="38" priority="30" stopIfTrue="1">
      <formula>OR(C10="X",C10="FS")</formula>
    </cfRule>
  </conditionalFormatting>
  <conditionalFormatting sqref="C50:AG50">
    <cfRule type="expression" dxfId="37" priority="22" stopIfTrue="1">
      <formula>C$50="S"</formula>
    </cfRule>
  </conditionalFormatting>
  <conditionalFormatting sqref="AI10:AI49">
    <cfRule type="cellIs" dxfId="36" priority="25" stopIfTrue="1" operator="equal">
      <formula>0</formula>
    </cfRule>
    <cfRule type="cellIs" dxfId="35" priority="26" operator="greaterThan">
      <formula>0</formula>
    </cfRule>
  </conditionalFormatting>
  <conditionalFormatting sqref="AH10:AH49">
    <cfRule type="cellIs" dxfId="34" priority="24" operator="equal">
      <formula>0</formula>
    </cfRule>
  </conditionalFormatting>
  <conditionalFormatting sqref="AJ10:AJ49">
    <cfRule type="cellIs" dxfId="33" priority="23" operator="equal">
      <formula>0</formula>
    </cfRule>
  </conditionalFormatting>
  <conditionalFormatting sqref="C84:AG84">
    <cfRule type="expression" dxfId="32" priority="12" stopIfTrue="1">
      <formula>IF($B$84="",1,0)</formula>
    </cfRule>
    <cfRule type="expression" dxfId="31" priority="36" stopIfTrue="1">
      <formula>IF(C$84&lt;&gt;$C$104,1,0)</formula>
    </cfRule>
    <cfRule type="expression" dxfId="30" priority="37" stopIfTrue="1">
      <formula>IF(C$84=$C$104,1,0)</formula>
    </cfRule>
  </conditionalFormatting>
  <conditionalFormatting sqref="C85:AG85">
    <cfRule type="expression" dxfId="29" priority="13" stopIfTrue="1">
      <formula>IF($B$85="",1,0)</formula>
    </cfRule>
    <cfRule type="expression" dxfId="28" priority="38">
      <formula>IF(C$85=$C$105,1,0)</formula>
    </cfRule>
    <cfRule type="expression" dxfId="27" priority="39">
      <formula>IF(C$85&lt;&gt;$C$105,1,0)</formula>
    </cfRule>
  </conditionalFormatting>
  <conditionalFormatting sqref="C86:AG86">
    <cfRule type="expression" dxfId="26" priority="14" stopIfTrue="1">
      <formula>IF($B$86="",1,0)</formula>
    </cfRule>
    <cfRule type="expression" dxfId="25" priority="40" stopIfTrue="1">
      <formula>IF(C$86&lt;&gt;$C$106,1,0)</formula>
    </cfRule>
    <cfRule type="expression" dxfId="24" priority="41" stopIfTrue="1">
      <formula>IF(C$86=$C$106,1,0)</formula>
    </cfRule>
  </conditionalFormatting>
  <conditionalFormatting sqref="C79:AG79">
    <cfRule type="expression" dxfId="23" priority="7">
      <formula>IF($B$79="",1,0)</formula>
    </cfRule>
    <cfRule type="expression" dxfId="22" priority="42">
      <formula>IF(C$79=$C$99,1,0)</formula>
    </cfRule>
    <cfRule type="expression" dxfId="21" priority="43">
      <formula>IF(C$79&lt;&gt;$C$99,1,0)</formula>
    </cfRule>
  </conditionalFormatting>
  <conditionalFormatting sqref="C81:AG81">
    <cfRule type="expression" dxfId="20" priority="9">
      <formula>IF($B$81="",1,0)</formula>
    </cfRule>
    <cfRule type="expression" dxfId="19" priority="44">
      <formula>IF(C$81=$C$101,1,0)</formula>
    </cfRule>
    <cfRule type="expression" dxfId="18" priority="45">
      <formula>IF(C$81&lt;&gt;$C$101,1,0)</formula>
    </cfRule>
  </conditionalFormatting>
  <conditionalFormatting sqref="C80:AG80">
    <cfRule type="expression" dxfId="17" priority="8">
      <formula>IF($B$80="",1,0)</formula>
    </cfRule>
    <cfRule type="expression" dxfId="16" priority="46">
      <formula>IF(C$80&lt;&gt;$C$100,1,0)</formula>
    </cfRule>
    <cfRule type="expression" dxfId="15" priority="47">
      <formula>IF(C$80=$C$100,1,0)</formula>
    </cfRule>
  </conditionalFormatting>
  <conditionalFormatting sqref="C82:AG82">
    <cfRule type="expression" dxfId="14" priority="10">
      <formula>IF($B$82="",1,0)</formula>
    </cfRule>
    <cfRule type="expression" dxfId="13" priority="48">
      <formula>IF(C$82&lt;&gt;$C$102,1,0)</formula>
    </cfRule>
    <cfRule type="expression" dxfId="12" priority="49">
      <formula>IF(C$82=$C$102,1,0)</formula>
    </cfRule>
  </conditionalFormatting>
  <conditionalFormatting sqref="C83:AG83">
    <cfRule type="expression" dxfId="11" priority="11" stopIfTrue="1">
      <formula>IF($B$83="",1,0)</formula>
    </cfRule>
    <cfRule type="expression" dxfId="10" priority="50" stopIfTrue="1">
      <formula>IF(C$83=$C$103,1,0)</formula>
    </cfRule>
    <cfRule type="expression" dxfId="9" priority="51" stopIfTrue="1">
      <formula>IF(C$83&lt;&gt;$C$103,1,0)</formula>
    </cfRule>
  </conditionalFormatting>
  <conditionalFormatting sqref="C88:AG88">
    <cfRule type="expression" dxfId="8" priority="16" stopIfTrue="1">
      <formula>IF($B$88="",1,0)</formula>
    </cfRule>
    <cfRule type="expression" dxfId="7" priority="19" stopIfTrue="1">
      <formula>IF(C$88&lt;&gt;$C$108,1,0)</formula>
    </cfRule>
    <cfRule type="expression" dxfId="6" priority="20" stopIfTrue="1">
      <formula>IF(C$88=$C$108,1,0)</formula>
    </cfRule>
  </conditionalFormatting>
  <conditionalFormatting sqref="C87:AG87">
    <cfRule type="expression" dxfId="5" priority="15" stopIfTrue="1">
      <formula>IF($B$87="",1,0)</formula>
    </cfRule>
    <cfRule type="expression" dxfId="4" priority="17" stopIfTrue="1">
      <formula>IF(C$87&lt;&gt;$C$107,1,0)</formula>
    </cfRule>
    <cfRule type="expression" dxfId="3" priority="18" stopIfTrue="1">
      <formula>IF(C$87=$C$107,1,0)</formula>
    </cfRule>
  </conditionalFormatting>
  <conditionalFormatting sqref="C5:AG5">
    <cfRule type="expression" dxfId="2" priority="3">
      <formula>C5="SZ"</formula>
    </cfRule>
  </conditionalFormatting>
  <conditionalFormatting sqref="B5">
    <cfRule type="expression" dxfId="1" priority="1">
      <formula>B$50="WS"</formula>
    </cfRule>
    <cfRule type="expression" dxfId="0" priority="2">
      <formula>B$50="SZ"</formula>
    </cfRule>
  </conditionalFormatting>
  <dataValidations count="1">
    <dataValidation type="list" allowBlank="1" showInputMessage="1" showErrorMessage="1" sqref="B10:B49" xr:uid="{FC2D7F66-A36F-4E60-99E1-7255D911708A}">
      <formula1>DropdownNamensliste</formula1>
    </dataValidation>
  </dataValidations>
  <printOptions horizontalCentered="1" verticalCentered="1"/>
  <pageMargins left="0.15" right="0.15" top="0.25" bottom="0.25" header="0.3" footer="0.3"/>
  <pageSetup paperSize="9" scale="46" orientation="landscape" r:id="rId1"/>
  <rowBreaks count="1" manualBreakCount="1">
    <brk id="78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16</vt:i4>
      </vt:variant>
    </vt:vector>
  </HeadingPairs>
  <TitlesOfParts>
    <vt:vector size="29" baseType="lpstr">
      <vt:lpstr>Einstellungen</vt:lpstr>
      <vt:lpstr>Januar</vt:lpstr>
      <vt:lpstr>Februar</vt:lpstr>
      <vt:lpstr>März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April!Druckbereich</vt:lpstr>
      <vt:lpstr>August!Druckbereich</vt:lpstr>
      <vt:lpstr>Dezember!Druckbereich</vt:lpstr>
      <vt:lpstr>Februar!Druckbereich</vt:lpstr>
      <vt:lpstr>Januar!Druckbereich</vt:lpstr>
      <vt:lpstr>Juli!Druckbereich</vt:lpstr>
      <vt:lpstr>Juni!Druckbereich</vt:lpstr>
      <vt:lpstr>Mai!Druckbereich</vt:lpstr>
      <vt:lpstr>März!Druckbereich</vt:lpstr>
      <vt:lpstr>November!Druckbereich</vt:lpstr>
      <vt:lpstr>Oktober!Druckbereich</vt:lpstr>
      <vt:lpstr>September!Druckbereich</vt:lpstr>
      <vt:lpstr>Einstellungen!MitarbeiterListe</vt:lpstr>
      <vt:lpstr>Nachtschichten</vt:lpstr>
      <vt:lpstr>SortierteNamen</vt:lpstr>
      <vt:lpstr>Tagschichten</vt:lpstr>
    </vt:vector>
  </TitlesOfParts>
  <Manager>Enrico Sadlowski</Manager>
  <Company>ESD-Sicherheitsdienst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Dienstplan BwVz - Vorlage</dc:title>
  <dc:subject>Dienstplan ESD - Vorlage</dc:subject>
  <dc:creator>Enrico Sadlowski</dc:creator>
  <cp:keywords>Dienstplan Dienstplan Vorlage</cp:keywords>
  <dc:description/>
  <cp:lastModifiedBy>Rico Heumann</cp:lastModifiedBy>
  <cp:revision>89</cp:revision>
  <cp:lastPrinted>2025-03-13T08:08:19Z</cp:lastPrinted>
  <dcterms:created xsi:type="dcterms:W3CDTF">2013-09-14T15:46:00Z</dcterms:created>
  <dcterms:modified xsi:type="dcterms:W3CDTF">2025-03-13T10:15:41Z</dcterms:modified>
  <dc:language>de-DE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kumentnummer">
    <vt:lpwstr>1</vt:lpwstr>
  </property>
  <property fmtid="{D5CDD505-2E9C-101B-9397-08002B2CF9AE}" pid="3" name="Erstellt von">
    <vt:lpwstr>Enrico Sadlowski</vt:lpwstr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Projekt">
    <vt:lpwstr>ZInst Garching</vt:lpwstr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Status">
    <vt:lpwstr>In Arbeit</vt:lpwstr>
  </property>
  <property fmtid="{D5CDD505-2E9C-101B-9397-08002B2CF9AE}" pid="10" name="category">
    <vt:lpwstr>Dienstplan, Vorlage</vt:lpwstr>
  </property>
</Properties>
</file>