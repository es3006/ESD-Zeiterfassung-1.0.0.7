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ink/ink1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nsac\Documents\DEVELOPMENT\Delphi\Projekte\Firma\ESD Zeiterfassung 1.0.0.7\Output\"/>
    </mc:Choice>
  </mc:AlternateContent>
  <xr:revisionPtr revIDLastSave="0" documentId="13_ncr:1_{3E6A942E-7850-48E8-A44A-79D7645F8005}" xr6:coauthVersionLast="47" xr6:coauthVersionMax="47" xr10:uidLastSave="{00000000-0000-0000-0000-000000000000}"/>
  <workbookProtection workbookAlgorithmName="SHA-512" workbookHashValue="6FrtoJr6/RVf3sTLgBAfFlNgb0AXpaN8jgeZOAmxvP0Lw1sqme7R1eFIVYcGMPiovyubnVYciJkd6usunZegFQ==" workbookSaltValue="bN/ij5VljT8kIJ9KNSePjA==" workbookSpinCount="100000" lockStructure="1"/>
  <bookViews>
    <workbookView xWindow="-110" yWindow="-110" windowWidth="25180" windowHeight="16140" tabRatio="857" xr2:uid="{00000000-000D-0000-FFFF-FFFF00000000}"/>
  </bookViews>
  <sheets>
    <sheet name="Einstellungen" sheetId="1" r:id="rId1"/>
    <sheet name="Januar" sheetId="330" r:id="rId2"/>
    <sheet name="Februar" sheetId="352" r:id="rId3"/>
    <sheet name="März" sheetId="353" r:id="rId4"/>
    <sheet name="April" sheetId="354" r:id="rId5"/>
    <sheet name="Mai" sheetId="355" r:id="rId6"/>
    <sheet name="Juni" sheetId="356" r:id="rId7"/>
    <sheet name="Juli" sheetId="357" r:id="rId8"/>
    <sheet name="August" sheetId="358" r:id="rId9"/>
    <sheet name="September" sheetId="359" r:id="rId10"/>
    <sheet name="Oktober" sheetId="360" r:id="rId11"/>
    <sheet name="November" sheetId="361" r:id="rId12"/>
    <sheet name="Dezember" sheetId="362" r:id="rId13"/>
  </sheets>
  <definedNames>
    <definedName name="_xleta.DAY" hidden="1" xlm="1">#NAME?</definedName>
    <definedName name="_xleta.N" hidden="1" xlm="1">#NAME?</definedName>
    <definedName name="_xleta.T" hidden="1" xlm="1">#NAME?</definedName>
    <definedName name="DropdownNamensliste">OFFSET(Einstellungen!$S$9, 0, 0, COUNTA(Einstellungen!$S$9:$S$84), 1)</definedName>
    <definedName name="_xlnm.Print_Area" localSheetId="4">April!$B$1:$AJ$61</definedName>
    <definedName name="_xlnm.Print_Area" localSheetId="8">August!$B$1:$AJ$61</definedName>
    <definedName name="_xlnm.Print_Area" localSheetId="12">Dezember!$B$1:$AJ$61</definedName>
    <definedName name="_xlnm.Print_Area" localSheetId="2">Februar!$B$1:$AJ$61</definedName>
    <definedName name="_xlnm.Print_Area" localSheetId="1">Januar!$B$1:$AJ$61</definedName>
    <definedName name="_xlnm.Print_Area" localSheetId="7">Juli!$B$1:$AJ$61</definedName>
    <definedName name="_xlnm.Print_Area" localSheetId="6">Juni!$B$1:$AJ$61</definedName>
    <definedName name="_xlnm.Print_Area" localSheetId="5">Mai!$B$1:$AJ$61</definedName>
    <definedName name="_xlnm.Print_Area" localSheetId="3">März!$B$1:$AJ$61</definedName>
    <definedName name="_xlnm.Print_Area" localSheetId="11">November!$B$1:$AJ$61</definedName>
    <definedName name="_xlnm.Print_Area" localSheetId="10">Oktober!$B$1:$AJ$61</definedName>
    <definedName name="_xlnm.Print_Area" localSheetId="9">September!$B$1:$AJ$61</definedName>
    <definedName name="MitarbeiterListe" localSheetId="0">tblMitarbeiter[Mitarbeiter]</definedName>
    <definedName name="Nachtschichten">Einstellungen!$K$30:$K$42</definedName>
    <definedName name="SortierteNamen">Einstellungen!$R$9:$R$84</definedName>
    <definedName name="Tagschichten">Einstellungen!$I$30:$I$42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1" i="1" l="1" a="1"/>
  <c r="S11" i="1" s="1"/>
  <c r="S9" i="1" a="1"/>
  <c r="S9" i="1" s="1"/>
  <c r="S10" i="1" a="1"/>
  <c r="S10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C94" i="352"/>
  <c r="C94" i="353"/>
  <c r="C94" i="354"/>
  <c r="C94" i="355"/>
  <c r="C94" i="356"/>
  <c r="C94" i="357"/>
  <c r="C94" i="358"/>
  <c r="C94" i="359"/>
  <c r="C94" i="360"/>
  <c r="C94" i="361"/>
  <c r="C94" i="362"/>
  <c r="C94" i="330"/>
  <c r="AG88" i="362"/>
  <c r="AF88" i="362"/>
  <c r="AE88" i="362"/>
  <c r="AD88" i="362"/>
  <c r="AC88" i="362"/>
  <c r="AB88" i="362"/>
  <c r="AA88" i="362"/>
  <c r="Z88" i="362"/>
  <c r="Y88" i="362"/>
  <c r="X88" i="362"/>
  <c r="W88" i="362"/>
  <c r="V88" i="362"/>
  <c r="U88" i="362"/>
  <c r="T88" i="362"/>
  <c r="S88" i="362"/>
  <c r="R88" i="362"/>
  <c r="Q88" i="362"/>
  <c r="P88" i="362"/>
  <c r="O88" i="362"/>
  <c r="N88" i="362"/>
  <c r="M88" i="362"/>
  <c r="L88" i="362"/>
  <c r="K88" i="362"/>
  <c r="J88" i="362"/>
  <c r="I88" i="362"/>
  <c r="H88" i="362"/>
  <c r="G88" i="362"/>
  <c r="F88" i="362"/>
  <c r="E88" i="362"/>
  <c r="D88" i="362"/>
  <c r="C88" i="362"/>
  <c r="B88" i="362"/>
  <c r="AG87" i="362"/>
  <c r="AF87" i="362"/>
  <c r="AE87" i="362"/>
  <c r="AD87" i="362"/>
  <c r="AC87" i="362"/>
  <c r="AB87" i="362"/>
  <c r="AA87" i="362"/>
  <c r="Z87" i="362"/>
  <c r="Y87" i="362"/>
  <c r="X87" i="362"/>
  <c r="W87" i="362"/>
  <c r="V87" i="362"/>
  <c r="U87" i="362"/>
  <c r="T87" i="362"/>
  <c r="S87" i="362"/>
  <c r="R87" i="362"/>
  <c r="Q87" i="362"/>
  <c r="P87" i="362"/>
  <c r="O87" i="362"/>
  <c r="N87" i="362"/>
  <c r="M87" i="362"/>
  <c r="L87" i="362"/>
  <c r="K87" i="362"/>
  <c r="J87" i="362"/>
  <c r="I87" i="362"/>
  <c r="H87" i="362"/>
  <c r="G87" i="362"/>
  <c r="F87" i="362"/>
  <c r="E87" i="362"/>
  <c r="D87" i="362"/>
  <c r="C87" i="362"/>
  <c r="B87" i="362"/>
  <c r="AG86" i="362"/>
  <c r="AF86" i="362"/>
  <c r="AE86" i="362"/>
  <c r="AD86" i="362"/>
  <c r="AC86" i="362"/>
  <c r="AB86" i="362"/>
  <c r="AA86" i="362"/>
  <c r="Z86" i="362"/>
  <c r="Y86" i="362"/>
  <c r="X86" i="362"/>
  <c r="W86" i="362"/>
  <c r="V86" i="362"/>
  <c r="U86" i="362"/>
  <c r="T86" i="362"/>
  <c r="S86" i="362"/>
  <c r="R86" i="362"/>
  <c r="Q86" i="362"/>
  <c r="P86" i="362"/>
  <c r="O86" i="362"/>
  <c r="N86" i="362"/>
  <c r="M86" i="362"/>
  <c r="L86" i="362"/>
  <c r="K86" i="362"/>
  <c r="J86" i="362"/>
  <c r="I86" i="362"/>
  <c r="H86" i="362"/>
  <c r="G86" i="362"/>
  <c r="F86" i="362"/>
  <c r="E86" i="362"/>
  <c r="D86" i="362"/>
  <c r="C86" i="362"/>
  <c r="B86" i="362"/>
  <c r="AG85" i="362"/>
  <c r="AF85" i="362"/>
  <c r="AE85" i="362"/>
  <c r="AD85" i="362"/>
  <c r="AC85" i="362"/>
  <c r="AB85" i="362"/>
  <c r="AA85" i="362"/>
  <c r="Z85" i="362"/>
  <c r="Y85" i="362"/>
  <c r="X85" i="362"/>
  <c r="W85" i="362"/>
  <c r="V85" i="362"/>
  <c r="U85" i="362"/>
  <c r="T85" i="362"/>
  <c r="S85" i="362"/>
  <c r="R85" i="362"/>
  <c r="Q85" i="362"/>
  <c r="P85" i="362"/>
  <c r="O85" i="362"/>
  <c r="N85" i="362"/>
  <c r="M85" i="362"/>
  <c r="L85" i="362"/>
  <c r="K85" i="362"/>
  <c r="J85" i="362"/>
  <c r="I85" i="362"/>
  <c r="H85" i="362"/>
  <c r="G85" i="362"/>
  <c r="F85" i="362"/>
  <c r="E85" i="362"/>
  <c r="D85" i="362"/>
  <c r="C85" i="362"/>
  <c r="B85" i="362"/>
  <c r="AG84" i="362"/>
  <c r="AF84" i="362"/>
  <c r="AE84" i="362"/>
  <c r="AD84" i="362"/>
  <c r="AC84" i="362"/>
  <c r="AB84" i="362"/>
  <c r="AA84" i="362"/>
  <c r="Z84" i="362"/>
  <c r="Y84" i="362"/>
  <c r="X84" i="362"/>
  <c r="W84" i="362"/>
  <c r="V84" i="362"/>
  <c r="U84" i="362"/>
  <c r="T84" i="362"/>
  <c r="S84" i="362"/>
  <c r="R84" i="362"/>
  <c r="Q84" i="362"/>
  <c r="P84" i="362"/>
  <c r="O84" i="362"/>
  <c r="N84" i="362"/>
  <c r="M84" i="362"/>
  <c r="L84" i="362"/>
  <c r="K84" i="362"/>
  <c r="J84" i="362"/>
  <c r="I84" i="362"/>
  <c r="H84" i="362"/>
  <c r="G84" i="362"/>
  <c r="F84" i="362"/>
  <c r="E84" i="362"/>
  <c r="D84" i="362"/>
  <c r="C84" i="362"/>
  <c r="B84" i="362"/>
  <c r="AG83" i="362"/>
  <c r="AF83" i="362"/>
  <c r="AE83" i="362"/>
  <c r="AD83" i="362"/>
  <c r="AC83" i="362"/>
  <c r="AB83" i="362"/>
  <c r="AA83" i="362"/>
  <c r="Z83" i="362"/>
  <c r="Y83" i="362"/>
  <c r="X83" i="362"/>
  <c r="W83" i="362"/>
  <c r="V83" i="362"/>
  <c r="U83" i="362"/>
  <c r="T83" i="362"/>
  <c r="S83" i="362"/>
  <c r="R83" i="362"/>
  <c r="Q83" i="362"/>
  <c r="P83" i="362"/>
  <c r="O83" i="362"/>
  <c r="N83" i="362"/>
  <c r="M83" i="362"/>
  <c r="L83" i="362"/>
  <c r="K83" i="362"/>
  <c r="J83" i="362"/>
  <c r="I83" i="362"/>
  <c r="H83" i="362"/>
  <c r="G83" i="362"/>
  <c r="F83" i="362"/>
  <c r="E83" i="362"/>
  <c r="D83" i="362"/>
  <c r="C83" i="362"/>
  <c r="B83" i="362"/>
  <c r="AG82" i="362"/>
  <c r="AF82" i="362"/>
  <c r="AE82" i="362"/>
  <c r="AD82" i="362"/>
  <c r="AC82" i="362"/>
  <c r="AB82" i="362"/>
  <c r="AA82" i="362"/>
  <c r="Z82" i="362"/>
  <c r="Y82" i="362"/>
  <c r="X82" i="362"/>
  <c r="W82" i="362"/>
  <c r="V82" i="362"/>
  <c r="U82" i="362"/>
  <c r="T82" i="362"/>
  <c r="S82" i="362"/>
  <c r="R82" i="362"/>
  <c r="Q82" i="362"/>
  <c r="P82" i="362"/>
  <c r="O82" i="362"/>
  <c r="N82" i="362"/>
  <c r="M82" i="362"/>
  <c r="L82" i="362"/>
  <c r="K82" i="362"/>
  <c r="J82" i="362"/>
  <c r="I82" i="362"/>
  <c r="H82" i="362"/>
  <c r="G82" i="362"/>
  <c r="F82" i="362"/>
  <c r="E82" i="362"/>
  <c r="D82" i="362"/>
  <c r="C82" i="362"/>
  <c r="B82" i="362"/>
  <c r="AG81" i="362"/>
  <c r="AF81" i="362"/>
  <c r="AE81" i="362"/>
  <c r="AD81" i="362"/>
  <c r="AC81" i="362"/>
  <c r="AB81" i="362"/>
  <c r="AA81" i="362"/>
  <c r="Z81" i="362"/>
  <c r="Y81" i="362"/>
  <c r="X81" i="362"/>
  <c r="W81" i="362"/>
  <c r="V81" i="362"/>
  <c r="U81" i="362"/>
  <c r="T81" i="362"/>
  <c r="S81" i="362"/>
  <c r="R81" i="362"/>
  <c r="Q81" i="362"/>
  <c r="P81" i="362"/>
  <c r="O81" i="362"/>
  <c r="N81" i="362"/>
  <c r="M81" i="362"/>
  <c r="L81" i="362"/>
  <c r="K81" i="362"/>
  <c r="J81" i="362"/>
  <c r="I81" i="362"/>
  <c r="H81" i="362"/>
  <c r="G81" i="362"/>
  <c r="F81" i="362"/>
  <c r="E81" i="362"/>
  <c r="D81" i="362"/>
  <c r="C81" i="362"/>
  <c r="B81" i="362"/>
  <c r="AG80" i="362"/>
  <c r="AF80" i="362"/>
  <c r="AE80" i="362"/>
  <c r="AD80" i="362"/>
  <c r="AC80" i="362"/>
  <c r="AB80" i="362"/>
  <c r="AA80" i="362"/>
  <c r="Z80" i="362"/>
  <c r="Y80" i="362"/>
  <c r="X80" i="362"/>
  <c r="W80" i="362"/>
  <c r="V80" i="362"/>
  <c r="U80" i="362"/>
  <c r="T80" i="362"/>
  <c r="S80" i="362"/>
  <c r="R80" i="362"/>
  <c r="Q80" i="362"/>
  <c r="P80" i="362"/>
  <c r="O80" i="362"/>
  <c r="N80" i="362"/>
  <c r="M80" i="362"/>
  <c r="L80" i="362"/>
  <c r="K80" i="362"/>
  <c r="J80" i="362"/>
  <c r="I80" i="362"/>
  <c r="H80" i="362"/>
  <c r="G80" i="362"/>
  <c r="F80" i="362"/>
  <c r="E80" i="362"/>
  <c r="D80" i="362"/>
  <c r="C80" i="362"/>
  <c r="B80" i="362"/>
  <c r="AG79" i="362"/>
  <c r="AF79" i="362"/>
  <c r="AE79" i="362"/>
  <c r="AD79" i="362"/>
  <c r="AC79" i="362"/>
  <c r="AB79" i="362"/>
  <c r="AA79" i="362"/>
  <c r="Z79" i="362"/>
  <c r="Y79" i="362"/>
  <c r="X79" i="362"/>
  <c r="W79" i="362"/>
  <c r="V79" i="362"/>
  <c r="U79" i="362"/>
  <c r="T79" i="362"/>
  <c r="S79" i="362"/>
  <c r="R79" i="362"/>
  <c r="Q79" i="362"/>
  <c r="P79" i="362"/>
  <c r="O79" i="362"/>
  <c r="N79" i="362"/>
  <c r="M79" i="362"/>
  <c r="L79" i="362"/>
  <c r="K79" i="362"/>
  <c r="J79" i="362"/>
  <c r="I79" i="362"/>
  <c r="H79" i="362"/>
  <c r="G79" i="362"/>
  <c r="F79" i="362"/>
  <c r="E79" i="362"/>
  <c r="D79" i="362"/>
  <c r="C79" i="362"/>
  <c r="B79" i="362"/>
  <c r="AB58" i="362"/>
  <c r="AO50" i="362"/>
  <c r="AN50" i="362"/>
  <c r="AQ49" i="362"/>
  <c r="AI49" i="362" a="1"/>
  <c r="AI49" i="362" s="1"/>
  <c r="AH49" i="362" a="1"/>
  <c r="AH49" i="362" s="1"/>
  <c r="AJ49" i="362" s="1"/>
  <c r="AK49" i="362" s="1"/>
  <c r="A49" i="362"/>
  <c r="AQ48" i="362"/>
  <c r="AI48" i="362" a="1"/>
  <c r="AI48" i="362" s="1"/>
  <c r="AH48" i="362" a="1"/>
  <c r="AH48" i="362" s="1"/>
  <c r="A48" i="362"/>
  <c r="AQ47" i="362"/>
  <c r="AI47" i="362" a="1"/>
  <c r="AI47" i="362" s="1"/>
  <c r="AH47" i="362" a="1"/>
  <c r="AH47" i="362" s="1"/>
  <c r="A47" i="362"/>
  <c r="AQ46" i="362"/>
  <c r="AI46" i="362" a="1"/>
  <c r="AI46" i="362" s="1"/>
  <c r="AH46" i="362" a="1"/>
  <c r="AH46" i="362" s="1"/>
  <c r="A46" i="362"/>
  <c r="AQ45" i="362"/>
  <c r="AI45" i="362" a="1"/>
  <c r="AI45" i="362" s="1"/>
  <c r="AH45" i="362" a="1"/>
  <c r="AH45" i="362" s="1"/>
  <c r="A45" i="362"/>
  <c r="AQ44" i="362"/>
  <c r="AI44" i="362" a="1"/>
  <c r="AI44" i="362" s="1"/>
  <c r="AH44" i="362" a="1"/>
  <c r="AH44" i="362" s="1"/>
  <c r="A44" i="362"/>
  <c r="AQ43" i="362"/>
  <c r="AI43" i="362" a="1"/>
  <c r="AI43" i="362" s="1"/>
  <c r="AH43" i="362" a="1"/>
  <c r="AH43" i="362" s="1"/>
  <c r="A43" i="362"/>
  <c r="AQ42" i="362"/>
  <c r="AI42" i="362" a="1"/>
  <c r="AI42" i="362" s="1"/>
  <c r="AH42" i="362" a="1"/>
  <c r="AH42" i="362" s="1"/>
  <c r="A42" i="362"/>
  <c r="AQ41" i="362"/>
  <c r="AI41" i="362" a="1"/>
  <c r="AI41" i="362" s="1"/>
  <c r="AH41" i="362" a="1"/>
  <c r="AH41" i="362" s="1"/>
  <c r="A41" i="362"/>
  <c r="AQ40" i="362"/>
  <c r="AI40" i="362" a="1"/>
  <c r="AI40" i="362" s="1"/>
  <c r="AH40" i="362" a="1"/>
  <c r="AH40" i="362" s="1"/>
  <c r="A40" i="362"/>
  <c r="AQ39" i="362"/>
  <c r="AI39" i="362" a="1"/>
  <c r="AI39" i="362" s="1"/>
  <c r="AH39" i="362" a="1"/>
  <c r="AH39" i="362" s="1"/>
  <c r="A39" i="362"/>
  <c r="AQ38" i="362"/>
  <c r="AI38" i="362" a="1"/>
  <c r="AI38" i="362" s="1"/>
  <c r="AH38" i="362" a="1"/>
  <c r="AH38" i="362" s="1"/>
  <c r="A38" i="362"/>
  <c r="AQ37" i="362"/>
  <c r="AI37" i="362" a="1"/>
  <c r="AI37" i="362" s="1"/>
  <c r="AH37" i="362" a="1"/>
  <c r="AH37" i="362" s="1"/>
  <c r="A37" i="362"/>
  <c r="AQ36" i="362"/>
  <c r="AI36" i="362" a="1"/>
  <c r="AI36" i="362" s="1"/>
  <c r="AH36" i="362" a="1"/>
  <c r="AH36" i="362" s="1"/>
  <c r="A36" i="362"/>
  <c r="AQ35" i="362"/>
  <c r="AI35" i="362" a="1"/>
  <c r="AI35" i="362" s="1"/>
  <c r="AH35" i="362" a="1"/>
  <c r="AH35" i="362" s="1"/>
  <c r="A35" i="362"/>
  <c r="AQ34" i="362"/>
  <c r="AI34" i="362" a="1"/>
  <c r="AI34" i="362" s="1"/>
  <c r="AH34" i="362" a="1"/>
  <c r="AH34" i="362" s="1"/>
  <c r="A34" i="362"/>
  <c r="AQ33" i="362"/>
  <c r="AI33" i="362" a="1"/>
  <c r="AI33" i="362" s="1"/>
  <c r="AH33" i="362" a="1"/>
  <c r="AH33" i="362" s="1"/>
  <c r="A33" i="362"/>
  <c r="AQ32" i="362"/>
  <c r="AI32" i="362" a="1"/>
  <c r="AI32" i="362" s="1"/>
  <c r="AH32" i="362" a="1"/>
  <c r="AH32" i="362" s="1"/>
  <c r="A32" i="362"/>
  <c r="AQ31" i="362"/>
  <c r="AI31" i="362" a="1"/>
  <c r="AI31" i="362" s="1"/>
  <c r="AH31" i="362" a="1"/>
  <c r="AH31" i="362" s="1"/>
  <c r="A31" i="362"/>
  <c r="AQ30" i="362"/>
  <c r="AI30" i="362" a="1"/>
  <c r="AI30" i="362" s="1"/>
  <c r="AH30" i="362" a="1"/>
  <c r="AH30" i="362" s="1"/>
  <c r="A30" i="362"/>
  <c r="AQ29" i="362"/>
  <c r="AI29" i="362" a="1"/>
  <c r="AI29" i="362" s="1"/>
  <c r="AH29" i="362" a="1"/>
  <c r="AH29" i="362" s="1"/>
  <c r="A29" i="362"/>
  <c r="AQ28" i="362"/>
  <c r="AI28" i="362" a="1"/>
  <c r="AI28" i="362" s="1"/>
  <c r="AH28" i="362" a="1"/>
  <c r="AH28" i="362" s="1"/>
  <c r="A28" i="362"/>
  <c r="AQ27" i="362"/>
  <c r="AI27" i="362" a="1"/>
  <c r="AI27" i="362" s="1"/>
  <c r="AH27" i="362" a="1"/>
  <c r="AH27" i="362" s="1"/>
  <c r="A27" i="362"/>
  <c r="AQ26" i="362"/>
  <c r="AI26" i="362" a="1"/>
  <c r="AI26" i="362" s="1"/>
  <c r="AH26" i="362" a="1"/>
  <c r="AH26" i="362" s="1"/>
  <c r="A26" i="362"/>
  <c r="AQ25" i="362"/>
  <c r="AI25" i="362" a="1"/>
  <c r="AI25" i="362" s="1"/>
  <c r="AH25" i="362" a="1"/>
  <c r="AH25" i="362" s="1"/>
  <c r="A25" i="362"/>
  <c r="AQ24" i="362"/>
  <c r="AI24" i="362" a="1"/>
  <c r="AI24" i="362" s="1"/>
  <c r="AH24" i="362" a="1"/>
  <c r="AH24" i="362" s="1"/>
  <c r="A24" i="362"/>
  <c r="AQ23" i="362"/>
  <c r="AI23" i="362" a="1"/>
  <c r="AI23" i="362" s="1"/>
  <c r="AH23" i="362" a="1"/>
  <c r="AH23" i="362" s="1"/>
  <c r="A23" i="362"/>
  <c r="AQ22" i="362"/>
  <c r="AI22" i="362" a="1"/>
  <c r="AI22" i="362" s="1"/>
  <c r="AH22" i="362" a="1"/>
  <c r="AH22" i="362" s="1"/>
  <c r="A22" i="362"/>
  <c r="AQ21" i="362"/>
  <c r="AI21" i="362" a="1"/>
  <c r="AI21" i="362" s="1"/>
  <c r="AH21" i="362" a="1"/>
  <c r="AH21" i="362" s="1"/>
  <c r="A21" i="362"/>
  <c r="AQ20" i="362"/>
  <c r="AI20" i="362" a="1"/>
  <c r="AI20" i="362" s="1"/>
  <c r="AH20" i="362" a="1"/>
  <c r="AH20" i="362" s="1"/>
  <c r="A20" i="362"/>
  <c r="AQ19" i="362"/>
  <c r="AI19" i="362" a="1"/>
  <c r="AI19" i="362" s="1"/>
  <c r="AH19" i="362" a="1"/>
  <c r="AH19" i="362" s="1"/>
  <c r="A19" i="362"/>
  <c r="AQ18" i="362"/>
  <c r="AI18" i="362" a="1"/>
  <c r="AI18" i="362" s="1"/>
  <c r="AH18" i="362" a="1"/>
  <c r="AH18" i="362" s="1"/>
  <c r="A18" i="362"/>
  <c r="AQ17" i="362"/>
  <c r="AI17" i="362" a="1"/>
  <c r="AI17" i="362" s="1"/>
  <c r="AH17" i="362" a="1"/>
  <c r="AH17" i="362" s="1"/>
  <c r="A17" i="362"/>
  <c r="AQ16" i="362"/>
  <c r="AI16" i="362" a="1"/>
  <c r="AI16" i="362" s="1"/>
  <c r="AH16" i="362" a="1"/>
  <c r="AH16" i="362" s="1"/>
  <c r="A16" i="362"/>
  <c r="AQ15" i="362"/>
  <c r="AI15" i="362" a="1"/>
  <c r="AI15" i="362" s="1"/>
  <c r="AH15" i="362" a="1"/>
  <c r="AH15" i="362" s="1"/>
  <c r="A15" i="362"/>
  <c r="AQ14" i="362"/>
  <c r="AI14" i="362" a="1"/>
  <c r="AI14" i="362" s="1"/>
  <c r="AH14" i="362" a="1"/>
  <c r="AH14" i="362" s="1"/>
  <c r="A14" i="362"/>
  <c r="AQ13" i="362"/>
  <c r="AI13" i="362" a="1"/>
  <c r="AI13" i="362" s="1"/>
  <c r="AH13" i="362" a="1"/>
  <c r="AH13" i="362" s="1"/>
  <c r="A13" i="362"/>
  <c r="AQ12" i="362"/>
  <c r="AI12" i="362" a="1"/>
  <c r="AI12" i="362" s="1"/>
  <c r="AH12" i="362" a="1"/>
  <c r="AH12" i="362" s="1"/>
  <c r="A12" i="362"/>
  <c r="AQ11" i="362"/>
  <c r="AI11" i="362" a="1"/>
  <c r="AI11" i="362" s="1"/>
  <c r="AH11" i="362" a="1"/>
  <c r="AH11" i="362" s="1"/>
  <c r="A11" i="362"/>
  <c r="AQ10" i="362"/>
  <c r="AI10" i="362" a="1"/>
  <c r="AI10" i="362" s="1"/>
  <c r="AH10" i="362" a="1"/>
  <c r="AH10" i="362" s="1"/>
  <c r="A10" i="362"/>
  <c r="C4" i="362"/>
  <c r="L3" i="362"/>
  <c r="Z7" i="362" s="1"/>
  <c r="Z78" i="362" s="1"/>
  <c r="M1" i="362"/>
  <c r="AG88" i="361"/>
  <c r="AF88" i="361"/>
  <c r="AE88" i="361"/>
  <c r="AD88" i="361"/>
  <c r="AC88" i="361"/>
  <c r="AB88" i="361"/>
  <c r="AA88" i="361"/>
  <c r="Z88" i="361"/>
  <c r="Y88" i="361"/>
  <c r="X88" i="361"/>
  <c r="W88" i="361"/>
  <c r="V88" i="361"/>
  <c r="U88" i="361"/>
  <c r="T88" i="361"/>
  <c r="S88" i="361"/>
  <c r="R88" i="361"/>
  <c r="Q88" i="361"/>
  <c r="P88" i="361"/>
  <c r="O88" i="361"/>
  <c r="N88" i="361"/>
  <c r="M88" i="361"/>
  <c r="L88" i="361"/>
  <c r="K88" i="361"/>
  <c r="J88" i="361"/>
  <c r="I88" i="361"/>
  <c r="H88" i="361"/>
  <c r="G88" i="361"/>
  <c r="F88" i="361"/>
  <c r="E88" i="361"/>
  <c r="D88" i="361"/>
  <c r="C88" i="361"/>
  <c r="B88" i="361"/>
  <c r="AG87" i="361"/>
  <c r="AF87" i="361"/>
  <c r="AE87" i="361"/>
  <c r="AD87" i="361"/>
  <c r="AC87" i="361"/>
  <c r="AB87" i="361"/>
  <c r="AA87" i="361"/>
  <c r="Z87" i="361"/>
  <c r="Y87" i="361"/>
  <c r="X87" i="361"/>
  <c r="W87" i="361"/>
  <c r="V87" i="361"/>
  <c r="U87" i="361"/>
  <c r="T87" i="361"/>
  <c r="S87" i="361"/>
  <c r="R87" i="361"/>
  <c r="Q87" i="361"/>
  <c r="P87" i="361"/>
  <c r="O87" i="361"/>
  <c r="N87" i="361"/>
  <c r="M87" i="361"/>
  <c r="L87" i="361"/>
  <c r="K87" i="361"/>
  <c r="J87" i="361"/>
  <c r="I87" i="361"/>
  <c r="H87" i="361"/>
  <c r="G87" i="361"/>
  <c r="F87" i="361"/>
  <c r="E87" i="361"/>
  <c r="D87" i="361"/>
  <c r="C87" i="361"/>
  <c r="B87" i="361"/>
  <c r="AG86" i="361"/>
  <c r="AF86" i="361"/>
  <c r="AE86" i="361"/>
  <c r="AD86" i="361"/>
  <c r="AC86" i="361"/>
  <c r="AB86" i="361"/>
  <c r="AA86" i="361"/>
  <c r="Z86" i="361"/>
  <c r="Y86" i="361"/>
  <c r="X86" i="361"/>
  <c r="W86" i="361"/>
  <c r="V86" i="361"/>
  <c r="U86" i="361"/>
  <c r="T86" i="361"/>
  <c r="S86" i="361"/>
  <c r="R86" i="361"/>
  <c r="Q86" i="361"/>
  <c r="P86" i="361"/>
  <c r="O86" i="361"/>
  <c r="N86" i="361"/>
  <c r="M86" i="361"/>
  <c r="L86" i="361"/>
  <c r="K86" i="361"/>
  <c r="J86" i="361"/>
  <c r="I86" i="361"/>
  <c r="H86" i="361"/>
  <c r="G86" i="361"/>
  <c r="F86" i="361"/>
  <c r="E86" i="361"/>
  <c r="D86" i="361"/>
  <c r="C86" i="361"/>
  <c r="B86" i="361"/>
  <c r="AG85" i="361"/>
  <c r="AF85" i="361"/>
  <c r="AE85" i="361"/>
  <c r="AD85" i="361"/>
  <c r="AC85" i="361"/>
  <c r="AB85" i="361"/>
  <c r="AA85" i="361"/>
  <c r="Z85" i="361"/>
  <c r="Y85" i="361"/>
  <c r="X85" i="361"/>
  <c r="W85" i="361"/>
  <c r="V85" i="361"/>
  <c r="U85" i="361"/>
  <c r="T85" i="361"/>
  <c r="S85" i="361"/>
  <c r="R85" i="361"/>
  <c r="Q85" i="361"/>
  <c r="P85" i="361"/>
  <c r="O85" i="361"/>
  <c r="N85" i="361"/>
  <c r="M85" i="361"/>
  <c r="L85" i="361"/>
  <c r="K85" i="361"/>
  <c r="J85" i="361"/>
  <c r="I85" i="361"/>
  <c r="H85" i="361"/>
  <c r="G85" i="361"/>
  <c r="F85" i="361"/>
  <c r="E85" i="361"/>
  <c r="D85" i="361"/>
  <c r="C85" i="361"/>
  <c r="B85" i="361"/>
  <c r="AG84" i="361"/>
  <c r="AF84" i="361"/>
  <c r="AE84" i="361"/>
  <c r="AD84" i="361"/>
  <c r="AC84" i="361"/>
  <c r="AB84" i="361"/>
  <c r="AA84" i="361"/>
  <c r="Z84" i="361"/>
  <c r="Y84" i="361"/>
  <c r="X84" i="361"/>
  <c r="W84" i="361"/>
  <c r="V84" i="361"/>
  <c r="U84" i="361"/>
  <c r="T84" i="361"/>
  <c r="S84" i="361"/>
  <c r="R84" i="361"/>
  <c r="Q84" i="361"/>
  <c r="P84" i="361"/>
  <c r="O84" i="361"/>
  <c r="N84" i="361"/>
  <c r="M84" i="361"/>
  <c r="L84" i="361"/>
  <c r="K84" i="361"/>
  <c r="J84" i="361"/>
  <c r="I84" i="361"/>
  <c r="H84" i="361"/>
  <c r="G84" i="361"/>
  <c r="F84" i="361"/>
  <c r="E84" i="361"/>
  <c r="D84" i="361"/>
  <c r="C84" i="361"/>
  <c r="B84" i="361"/>
  <c r="AG83" i="361"/>
  <c r="AF83" i="361"/>
  <c r="AE83" i="361"/>
  <c r="AD83" i="361"/>
  <c r="AC83" i="361"/>
  <c r="AB83" i="361"/>
  <c r="AA83" i="361"/>
  <c r="Z83" i="361"/>
  <c r="Y83" i="361"/>
  <c r="X83" i="361"/>
  <c r="W83" i="361"/>
  <c r="V83" i="361"/>
  <c r="U83" i="361"/>
  <c r="T83" i="361"/>
  <c r="S83" i="361"/>
  <c r="R83" i="361"/>
  <c r="Q83" i="361"/>
  <c r="P83" i="361"/>
  <c r="O83" i="361"/>
  <c r="N83" i="361"/>
  <c r="M83" i="361"/>
  <c r="L83" i="361"/>
  <c r="K83" i="361"/>
  <c r="J83" i="361"/>
  <c r="I83" i="361"/>
  <c r="H83" i="361"/>
  <c r="G83" i="361"/>
  <c r="F83" i="361"/>
  <c r="E83" i="361"/>
  <c r="D83" i="361"/>
  <c r="C83" i="361"/>
  <c r="B83" i="361"/>
  <c r="AG82" i="361"/>
  <c r="AF82" i="361"/>
  <c r="AE82" i="361"/>
  <c r="AD82" i="361"/>
  <c r="AC82" i="361"/>
  <c r="AB82" i="361"/>
  <c r="AA82" i="361"/>
  <c r="Z82" i="361"/>
  <c r="Y82" i="361"/>
  <c r="X82" i="361"/>
  <c r="W82" i="361"/>
  <c r="V82" i="361"/>
  <c r="U82" i="361"/>
  <c r="T82" i="361"/>
  <c r="S82" i="361"/>
  <c r="R82" i="361"/>
  <c r="Q82" i="361"/>
  <c r="P82" i="361"/>
  <c r="O82" i="361"/>
  <c r="N82" i="361"/>
  <c r="M82" i="361"/>
  <c r="L82" i="361"/>
  <c r="K82" i="361"/>
  <c r="J82" i="361"/>
  <c r="I82" i="361"/>
  <c r="H82" i="361"/>
  <c r="G82" i="361"/>
  <c r="F82" i="361"/>
  <c r="E82" i="361"/>
  <c r="D82" i="361"/>
  <c r="C82" i="361"/>
  <c r="B82" i="361"/>
  <c r="AG81" i="361"/>
  <c r="AF81" i="361"/>
  <c r="AE81" i="361"/>
  <c r="AD81" i="361"/>
  <c r="AC81" i="361"/>
  <c r="AB81" i="361"/>
  <c r="AA81" i="361"/>
  <c r="Z81" i="361"/>
  <c r="Y81" i="361"/>
  <c r="X81" i="361"/>
  <c r="W81" i="361"/>
  <c r="V81" i="361"/>
  <c r="U81" i="361"/>
  <c r="T81" i="361"/>
  <c r="S81" i="361"/>
  <c r="R81" i="361"/>
  <c r="Q81" i="361"/>
  <c r="P81" i="361"/>
  <c r="O81" i="361"/>
  <c r="N81" i="361"/>
  <c r="M81" i="361"/>
  <c r="L81" i="361"/>
  <c r="K81" i="361"/>
  <c r="J81" i="361"/>
  <c r="I81" i="361"/>
  <c r="H81" i="361"/>
  <c r="G81" i="361"/>
  <c r="F81" i="361"/>
  <c r="E81" i="361"/>
  <c r="D81" i="361"/>
  <c r="C81" i="361"/>
  <c r="B81" i="361"/>
  <c r="AG80" i="361"/>
  <c r="AF80" i="361"/>
  <c r="AE80" i="361"/>
  <c r="AD80" i="361"/>
  <c r="AC80" i="361"/>
  <c r="AB80" i="361"/>
  <c r="AA80" i="361"/>
  <c r="Z80" i="361"/>
  <c r="Y80" i="361"/>
  <c r="X80" i="361"/>
  <c r="W80" i="361"/>
  <c r="V80" i="361"/>
  <c r="U80" i="361"/>
  <c r="T80" i="361"/>
  <c r="S80" i="361"/>
  <c r="R80" i="361"/>
  <c r="Q80" i="361"/>
  <c r="P80" i="361"/>
  <c r="O80" i="361"/>
  <c r="N80" i="361"/>
  <c r="M80" i="361"/>
  <c r="L80" i="361"/>
  <c r="K80" i="361"/>
  <c r="J80" i="361"/>
  <c r="I80" i="361"/>
  <c r="H80" i="361"/>
  <c r="G80" i="361"/>
  <c r="F80" i="361"/>
  <c r="E80" i="361"/>
  <c r="D80" i="361"/>
  <c r="C80" i="361"/>
  <c r="B80" i="361"/>
  <c r="AG79" i="361"/>
  <c r="AF79" i="361"/>
  <c r="AE79" i="361"/>
  <c r="AD79" i="361"/>
  <c r="AC79" i="361"/>
  <c r="AB79" i="361"/>
  <c r="AA79" i="361"/>
  <c r="Z79" i="361"/>
  <c r="Y79" i="361"/>
  <c r="X79" i="361"/>
  <c r="W79" i="361"/>
  <c r="V79" i="361"/>
  <c r="U79" i="361"/>
  <c r="T79" i="361"/>
  <c r="S79" i="361"/>
  <c r="R79" i="361"/>
  <c r="Q79" i="361"/>
  <c r="P79" i="361"/>
  <c r="O79" i="361"/>
  <c r="N79" i="361"/>
  <c r="M79" i="361"/>
  <c r="L79" i="361"/>
  <c r="K79" i="361"/>
  <c r="J79" i="361"/>
  <c r="I79" i="361"/>
  <c r="H79" i="361"/>
  <c r="G79" i="361"/>
  <c r="F79" i="361"/>
  <c r="E79" i="361"/>
  <c r="D79" i="361"/>
  <c r="C79" i="361"/>
  <c r="B79" i="361"/>
  <c r="AB58" i="361"/>
  <c r="AN50" i="361"/>
  <c r="AQ49" i="361"/>
  <c r="AI49" i="361" a="1"/>
  <c r="AI49" i="361" s="1"/>
  <c r="AH49" i="361" a="1"/>
  <c r="AH49" i="361" s="1"/>
  <c r="A49" i="361"/>
  <c r="AQ48" i="361"/>
  <c r="AI48" i="361" a="1"/>
  <c r="AI48" i="361" s="1"/>
  <c r="AH48" i="361" a="1"/>
  <c r="AH48" i="361" s="1"/>
  <c r="A48" i="361"/>
  <c r="AQ47" i="361"/>
  <c r="AI47" i="361" a="1"/>
  <c r="AI47" i="361" s="1"/>
  <c r="AH47" i="361" a="1"/>
  <c r="AH47" i="361" s="1"/>
  <c r="A47" i="361"/>
  <c r="AQ46" i="361"/>
  <c r="AI46" i="361" a="1"/>
  <c r="AI46" i="361" s="1"/>
  <c r="AH46" i="361" a="1"/>
  <c r="AH46" i="361" s="1"/>
  <c r="A46" i="361"/>
  <c r="AQ45" i="361"/>
  <c r="AI45" i="361" a="1"/>
  <c r="AI45" i="361" s="1"/>
  <c r="AH45" i="361" a="1"/>
  <c r="AH45" i="361" s="1"/>
  <c r="A45" i="361"/>
  <c r="AQ44" i="361"/>
  <c r="AI44" i="361" a="1"/>
  <c r="AI44" i="361" s="1"/>
  <c r="AH44" i="361" a="1"/>
  <c r="AH44" i="361" s="1"/>
  <c r="A44" i="361"/>
  <c r="AQ43" i="361"/>
  <c r="AI43" i="361" a="1"/>
  <c r="AI43" i="361" s="1"/>
  <c r="AH43" i="361" a="1"/>
  <c r="AH43" i="361" s="1"/>
  <c r="A43" i="361"/>
  <c r="AQ42" i="361"/>
  <c r="AI42" i="361" a="1"/>
  <c r="AI42" i="361" s="1"/>
  <c r="AH42" i="361" a="1"/>
  <c r="AH42" i="361" s="1"/>
  <c r="A42" i="361"/>
  <c r="AQ41" i="361"/>
  <c r="AI41" i="361" a="1"/>
  <c r="AI41" i="361" s="1"/>
  <c r="AH41" i="361" a="1"/>
  <c r="AH41" i="361" s="1"/>
  <c r="A41" i="361"/>
  <c r="AQ40" i="361"/>
  <c r="AI40" i="361" a="1"/>
  <c r="AI40" i="361" s="1"/>
  <c r="AH40" i="361" a="1"/>
  <c r="AH40" i="361" s="1"/>
  <c r="A40" i="361"/>
  <c r="AQ39" i="361"/>
  <c r="AI39" i="361" a="1"/>
  <c r="AI39" i="361" s="1"/>
  <c r="AH39" i="361" a="1"/>
  <c r="AH39" i="361" s="1"/>
  <c r="A39" i="361"/>
  <c r="AQ38" i="361"/>
  <c r="AI38" i="361" a="1"/>
  <c r="AI38" i="361" s="1"/>
  <c r="AH38" i="361" a="1"/>
  <c r="AH38" i="361" s="1"/>
  <c r="A38" i="361"/>
  <c r="AQ37" i="361"/>
  <c r="AI37" i="361" a="1"/>
  <c r="AI37" i="361" s="1"/>
  <c r="AH37" i="361" a="1"/>
  <c r="AH37" i="361" s="1"/>
  <c r="A37" i="361"/>
  <c r="AQ36" i="361"/>
  <c r="AI36" i="361" a="1"/>
  <c r="AI36" i="361" s="1"/>
  <c r="AH36" i="361" a="1"/>
  <c r="AH36" i="361" s="1"/>
  <c r="A36" i="361"/>
  <c r="AQ35" i="361"/>
  <c r="AI35" i="361" a="1"/>
  <c r="AI35" i="361" s="1"/>
  <c r="AH35" i="361" a="1"/>
  <c r="AH35" i="361" s="1"/>
  <c r="A35" i="361"/>
  <c r="AQ34" i="361"/>
  <c r="AI34" i="361" a="1"/>
  <c r="AI34" i="361" s="1"/>
  <c r="AH34" i="361" a="1"/>
  <c r="AH34" i="361" s="1"/>
  <c r="A34" i="361"/>
  <c r="AQ33" i="361"/>
  <c r="AI33" i="361" a="1"/>
  <c r="AI33" i="361" s="1"/>
  <c r="AH33" i="361" a="1"/>
  <c r="AH33" i="361" s="1"/>
  <c r="A33" i="361"/>
  <c r="AQ32" i="361"/>
  <c r="AI32" i="361" a="1"/>
  <c r="AI32" i="361" s="1"/>
  <c r="AH32" i="361" a="1"/>
  <c r="AH32" i="361" s="1"/>
  <c r="A32" i="361"/>
  <c r="AQ31" i="361"/>
  <c r="AI31" i="361" a="1"/>
  <c r="AI31" i="361" s="1"/>
  <c r="AH31" i="361" a="1"/>
  <c r="AH31" i="361" s="1"/>
  <c r="A31" i="361"/>
  <c r="AQ30" i="361"/>
  <c r="AI30" i="361" a="1"/>
  <c r="AI30" i="361" s="1"/>
  <c r="AH30" i="361" a="1"/>
  <c r="AH30" i="361" s="1"/>
  <c r="A30" i="361"/>
  <c r="AQ29" i="361"/>
  <c r="AI29" i="361" a="1"/>
  <c r="AI29" i="361" s="1"/>
  <c r="AH29" i="361" a="1"/>
  <c r="AH29" i="361" s="1"/>
  <c r="A29" i="361"/>
  <c r="AQ28" i="361"/>
  <c r="AI28" i="361" a="1"/>
  <c r="AI28" i="361" s="1"/>
  <c r="AH28" i="361" a="1"/>
  <c r="AH28" i="361" s="1"/>
  <c r="A28" i="361"/>
  <c r="AQ27" i="361"/>
  <c r="AI27" i="361" a="1"/>
  <c r="AI27" i="361" s="1"/>
  <c r="AH27" i="361" a="1"/>
  <c r="AH27" i="361" s="1"/>
  <c r="A27" i="361"/>
  <c r="AQ26" i="361"/>
  <c r="AI26" i="361" a="1"/>
  <c r="AI26" i="361" s="1"/>
  <c r="AH26" i="361" a="1"/>
  <c r="AH26" i="361" s="1"/>
  <c r="A26" i="361"/>
  <c r="AQ25" i="361"/>
  <c r="AI25" i="361" a="1"/>
  <c r="AI25" i="361" s="1"/>
  <c r="AH25" i="361" a="1"/>
  <c r="AH25" i="361" s="1"/>
  <c r="A25" i="361"/>
  <c r="AQ24" i="361"/>
  <c r="AI24" i="361" a="1"/>
  <c r="AI24" i="361" s="1"/>
  <c r="AH24" i="361" a="1"/>
  <c r="AH24" i="361" s="1"/>
  <c r="A24" i="361"/>
  <c r="AQ23" i="361"/>
  <c r="AI23" i="361" a="1"/>
  <c r="AI23" i="361" s="1"/>
  <c r="AH23" i="361" a="1"/>
  <c r="AH23" i="361" s="1"/>
  <c r="A23" i="361"/>
  <c r="AQ22" i="361"/>
  <c r="AI22" i="361" a="1"/>
  <c r="AI22" i="361" s="1"/>
  <c r="AH22" i="361" a="1"/>
  <c r="AH22" i="361" s="1"/>
  <c r="A22" i="361"/>
  <c r="AQ21" i="361"/>
  <c r="AI21" i="361" a="1"/>
  <c r="AI21" i="361" s="1"/>
  <c r="AH21" i="361" a="1"/>
  <c r="AH21" i="361" s="1"/>
  <c r="A21" i="361"/>
  <c r="AQ20" i="361"/>
  <c r="AI20" i="361" a="1"/>
  <c r="AI20" i="361" s="1"/>
  <c r="AH20" i="361" a="1"/>
  <c r="AH20" i="361" s="1"/>
  <c r="A20" i="361"/>
  <c r="AQ19" i="361"/>
  <c r="AI19" i="361" a="1"/>
  <c r="AI19" i="361" s="1"/>
  <c r="AH19" i="361" a="1"/>
  <c r="AH19" i="361" s="1"/>
  <c r="A19" i="361"/>
  <c r="AQ18" i="361"/>
  <c r="AI18" i="361" a="1"/>
  <c r="AI18" i="361" s="1"/>
  <c r="AH18" i="361" a="1"/>
  <c r="AH18" i="361" s="1"/>
  <c r="A18" i="361"/>
  <c r="AQ17" i="361"/>
  <c r="AI17" i="361" a="1"/>
  <c r="AI17" i="361" s="1"/>
  <c r="AH17" i="361" a="1"/>
  <c r="AH17" i="361" s="1"/>
  <c r="A17" i="361"/>
  <c r="AQ16" i="361"/>
  <c r="AI16" i="361" a="1"/>
  <c r="AI16" i="361" s="1"/>
  <c r="AH16" i="361" a="1"/>
  <c r="AH16" i="361" s="1"/>
  <c r="A16" i="361"/>
  <c r="AQ15" i="361"/>
  <c r="AI15" i="361" a="1"/>
  <c r="AI15" i="361" s="1"/>
  <c r="AH15" i="361" a="1"/>
  <c r="AH15" i="361" s="1"/>
  <c r="A15" i="361"/>
  <c r="AQ14" i="361"/>
  <c r="AI14" i="361" a="1"/>
  <c r="AI14" i="361" s="1"/>
  <c r="AH14" i="361" a="1"/>
  <c r="AH14" i="361" s="1"/>
  <c r="A14" i="361"/>
  <c r="AQ13" i="361"/>
  <c r="AI13" i="361" a="1"/>
  <c r="AI13" i="361" s="1"/>
  <c r="AH13" i="361" a="1"/>
  <c r="AH13" i="361" s="1"/>
  <c r="A13" i="361"/>
  <c r="AQ12" i="361"/>
  <c r="AI12" i="361" a="1"/>
  <c r="AI12" i="361" s="1"/>
  <c r="AH12" i="361" a="1"/>
  <c r="AH12" i="361" s="1"/>
  <c r="A12" i="361"/>
  <c r="AQ11" i="361"/>
  <c r="AI11" i="361" a="1"/>
  <c r="AI11" i="361" s="1"/>
  <c r="AH11" i="361" a="1"/>
  <c r="AH11" i="361" s="1"/>
  <c r="A11" i="361"/>
  <c r="AQ10" i="361"/>
  <c r="AI10" i="361" a="1"/>
  <c r="AI10" i="361" s="1"/>
  <c r="AH10" i="361" a="1"/>
  <c r="AH10" i="361" s="1"/>
  <c r="A10" i="361"/>
  <c r="C4" i="361"/>
  <c r="L3" i="361"/>
  <c r="AG7" i="361" s="1"/>
  <c r="AG78" i="361" s="1"/>
  <c r="M1" i="361"/>
  <c r="AG88" i="360"/>
  <c r="AF88" i="360"/>
  <c r="AE88" i="360"/>
  <c r="AD88" i="360"/>
  <c r="AC88" i="360"/>
  <c r="AB88" i="360"/>
  <c r="AA88" i="360"/>
  <c r="Z88" i="360"/>
  <c r="Y88" i="360"/>
  <c r="X88" i="360"/>
  <c r="W88" i="360"/>
  <c r="V88" i="360"/>
  <c r="U88" i="360"/>
  <c r="T88" i="360"/>
  <c r="S88" i="360"/>
  <c r="R88" i="360"/>
  <c r="Q88" i="360"/>
  <c r="P88" i="360"/>
  <c r="O88" i="360"/>
  <c r="N88" i="360"/>
  <c r="M88" i="360"/>
  <c r="L88" i="360"/>
  <c r="K88" i="360"/>
  <c r="J88" i="360"/>
  <c r="I88" i="360"/>
  <c r="H88" i="360"/>
  <c r="G88" i="360"/>
  <c r="F88" i="360"/>
  <c r="E88" i="360"/>
  <c r="D88" i="360"/>
  <c r="C88" i="360"/>
  <c r="B88" i="360"/>
  <c r="AG87" i="360"/>
  <c r="AF87" i="360"/>
  <c r="AE87" i="360"/>
  <c r="AD87" i="360"/>
  <c r="AC87" i="360"/>
  <c r="AB87" i="360"/>
  <c r="AA87" i="360"/>
  <c r="Z87" i="360"/>
  <c r="Y87" i="360"/>
  <c r="X87" i="360"/>
  <c r="W87" i="360"/>
  <c r="V87" i="360"/>
  <c r="U87" i="360"/>
  <c r="T87" i="360"/>
  <c r="S87" i="360"/>
  <c r="R87" i="360"/>
  <c r="Q87" i="360"/>
  <c r="P87" i="360"/>
  <c r="O87" i="360"/>
  <c r="N87" i="360"/>
  <c r="M87" i="360"/>
  <c r="L87" i="360"/>
  <c r="K87" i="360"/>
  <c r="J87" i="360"/>
  <c r="I87" i="360"/>
  <c r="H87" i="360"/>
  <c r="G87" i="360"/>
  <c r="F87" i="360"/>
  <c r="E87" i="360"/>
  <c r="D87" i="360"/>
  <c r="C87" i="360"/>
  <c r="B87" i="360"/>
  <c r="AG86" i="360"/>
  <c r="AF86" i="360"/>
  <c r="AE86" i="360"/>
  <c r="AD86" i="360"/>
  <c r="AC86" i="360"/>
  <c r="AB86" i="360"/>
  <c r="AA86" i="360"/>
  <c r="Z86" i="360"/>
  <c r="Y86" i="360"/>
  <c r="X86" i="360"/>
  <c r="W86" i="360"/>
  <c r="V86" i="360"/>
  <c r="U86" i="360"/>
  <c r="T86" i="360"/>
  <c r="S86" i="360"/>
  <c r="R86" i="360"/>
  <c r="Q86" i="360"/>
  <c r="P86" i="360"/>
  <c r="O86" i="360"/>
  <c r="N86" i="360"/>
  <c r="M86" i="360"/>
  <c r="L86" i="360"/>
  <c r="K86" i="360"/>
  <c r="J86" i="360"/>
  <c r="I86" i="360"/>
  <c r="H86" i="360"/>
  <c r="G86" i="360"/>
  <c r="F86" i="360"/>
  <c r="E86" i="360"/>
  <c r="D86" i="360"/>
  <c r="C86" i="360"/>
  <c r="B86" i="360"/>
  <c r="AG85" i="360"/>
  <c r="AF85" i="360"/>
  <c r="AE85" i="360"/>
  <c r="AD85" i="360"/>
  <c r="AC85" i="360"/>
  <c r="AB85" i="360"/>
  <c r="AA85" i="360"/>
  <c r="Z85" i="360"/>
  <c r="Y85" i="360"/>
  <c r="X85" i="360"/>
  <c r="W85" i="360"/>
  <c r="V85" i="360"/>
  <c r="U85" i="360"/>
  <c r="T85" i="360"/>
  <c r="S85" i="360"/>
  <c r="R85" i="360"/>
  <c r="Q85" i="360"/>
  <c r="P85" i="360"/>
  <c r="O85" i="360"/>
  <c r="N85" i="360"/>
  <c r="M85" i="360"/>
  <c r="L85" i="360"/>
  <c r="K85" i="360"/>
  <c r="J85" i="360"/>
  <c r="I85" i="360"/>
  <c r="H85" i="360"/>
  <c r="G85" i="360"/>
  <c r="F85" i="360"/>
  <c r="E85" i="360"/>
  <c r="D85" i="360"/>
  <c r="C85" i="360"/>
  <c r="B85" i="360"/>
  <c r="AG84" i="360"/>
  <c r="AF84" i="360"/>
  <c r="AE84" i="360"/>
  <c r="AD84" i="360"/>
  <c r="AC84" i="360"/>
  <c r="AB84" i="360"/>
  <c r="AA84" i="360"/>
  <c r="Z84" i="360"/>
  <c r="Y84" i="360"/>
  <c r="X84" i="360"/>
  <c r="W84" i="360"/>
  <c r="V84" i="360"/>
  <c r="U84" i="360"/>
  <c r="T84" i="360"/>
  <c r="S84" i="360"/>
  <c r="R84" i="360"/>
  <c r="Q84" i="360"/>
  <c r="P84" i="360"/>
  <c r="O84" i="360"/>
  <c r="N84" i="360"/>
  <c r="M84" i="360"/>
  <c r="L84" i="360"/>
  <c r="K84" i="360"/>
  <c r="J84" i="360"/>
  <c r="I84" i="360"/>
  <c r="H84" i="360"/>
  <c r="G84" i="360"/>
  <c r="F84" i="360"/>
  <c r="E84" i="360"/>
  <c r="D84" i="360"/>
  <c r="C84" i="360"/>
  <c r="B84" i="360"/>
  <c r="AG83" i="360"/>
  <c r="AF83" i="360"/>
  <c r="AE83" i="360"/>
  <c r="AD83" i="360"/>
  <c r="AC83" i="360"/>
  <c r="AB83" i="360"/>
  <c r="AA83" i="360"/>
  <c r="Z83" i="360"/>
  <c r="Y83" i="360"/>
  <c r="X83" i="360"/>
  <c r="W83" i="360"/>
  <c r="V83" i="360"/>
  <c r="U83" i="360"/>
  <c r="T83" i="360"/>
  <c r="S83" i="360"/>
  <c r="R83" i="360"/>
  <c r="Q83" i="360"/>
  <c r="P83" i="360"/>
  <c r="O83" i="360"/>
  <c r="N83" i="360"/>
  <c r="M83" i="360"/>
  <c r="L83" i="360"/>
  <c r="K83" i="360"/>
  <c r="J83" i="360"/>
  <c r="I83" i="360"/>
  <c r="H83" i="360"/>
  <c r="G83" i="360"/>
  <c r="F83" i="360"/>
  <c r="E83" i="360"/>
  <c r="D83" i="360"/>
  <c r="C83" i="360"/>
  <c r="B83" i="360"/>
  <c r="AG82" i="360"/>
  <c r="AF82" i="360"/>
  <c r="AE82" i="360"/>
  <c r="AD82" i="360"/>
  <c r="AC82" i="360"/>
  <c r="AB82" i="360"/>
  <c r="AA82" i="360"/>
  <c r="Z82" i="360"/>
  <c r="Y82" i="360"/>
  <c r="X82" i="360"/>
  <c r="W82" i="360"/>
  <c r="V82" i="360"/>
  <c r="U82" i="360"/>
  <c r="T82" i="360"/>
  <c r="S82" i="360"/>
  <c r="R82" i="360"/>
  <c r="Q82" i="360"/>
  <c r="P82" i="360"/>
  <c r="O82" i="360"/>
  <c r="N82" i="360"/>
  <c r="M82" i="360"/>
  <c r="L82" i="360"/>
  <c r="K82" i="360"/>
  <c r="J82" i="360"/>
  <c r="I82" i="360"/>
  <c r="H82" i="360"/>
  <c r="G82" i="360"/>
  <c r="F82" i="360"/>
  <c r="E82" i="360"/>
  <c r="D82" i="360"/>
  <c r="C82" i="360"/>
  <c r="B82" i="360"/>
  <c r="AG81" i="360"/>
  <c r="AF81" i="360"/>
  <c r="AE81" i="360"/>
  <c r="AD81" i="360"/>
  <c r="AC81" i="360"/>
  <c r="AB81" i="360"/>
  <c r="AA81" i="360"/>
  <c r="Z81" i="360"/>
  <c r="Y81" i="360"/>
  <c r="X81" i="360"/>
  <c r="W81" i="360"/>
  <c r="V81" i="360"/>
  <c r="U81" i="360"/>
  <c r="T81" i="360"/>
  <c r="S81" i="360"/>
  <c r="R81" i="360"/>
  <c r="Q81" i="360"/>
  <c r="P81" i="360"/>
  <c r="O81" i="360"/>
  <c r="N81" i="360"/>
  <c r="M81" i="360"/>
  <c r="L81" i="360"/>
  <c r="K81" i="360"/>
  <c r="J81" i="360"/>
  <c r="I81" i="360"/>
  <c r="H81" i="360"/>
  <c r="G81" i="360"/>
  <c r="F81" i="360"/>
  <c r="E81" i="360"/>
  <c r="D81" i="360"/>
  <c r="C81" i="360"/>
  <c r="B81" i="360"/>
  <c r="AG80" i="360"/>
  <c r="AF80" i="360"/>
  <c r="AE80" i="360"/>
  <c r="AD80" i="360"/>
  <c r="AC80" i="360"/>
  <c r="AB80" i="360"/>
  <c r="AA80" i="360"/>
  <c r="Z80" i="360"/>
  <c r="Y80" i="360"/>
  <c r="X80" i="360"/>
  <c r="W80" i="360"/>
  <c r="V80" i="360"/>
  <c r="U80" i="360"/>
  <c r="T80" i="360"/>
  <c r="S80" i="360"/>
  <c r="R80" i="360"/>
  <c r="Q80" i="360"/>
  <c r="P80" i="360"/>
  <c r="O80" i="360"/>
  <c r="N80" i="360"/>
  <c r="M80" i="360"/>
  <c r="L80" i="360"/>
  <c r="K80" i="360"/>
  <c r="J80" i="360"/>
  <c r="I80" i="360"/>
  <c r="H80" i="360"/>
  <c r="G80" i="360"/>
  <c r="F80" i="360"/>
  <c r="E80" i="360"/>
  <c r="D80" i="360"/>
  <c r="C80" i="360"/>
  <c r="B80" i="360"/>
  <c r="AG79" i="360"/>
  <c r="AF79" i="360"/>
  <c r="AE79" i="360"/>
  <c r="AD79" i="360"/>
  <c r="AC79" i="360"/>
  <c r="AB79" i="360"/>
  <c r="AA79" i="360"/>
  <c r="Z79" i="360"/>
  <c r="Y79" i="360"/>
  <c r="X79" i="360"/>
  <c r="W79" i="360"/>
  <c r="V79" i="360"/>
  <c r="U79" i="360"/>
  <c r="T79" i="360"/>
  <c r="S79" i="360"/>
  <c r="R79" i="360"/>
  <c r="Q79" i="360"/>
  <c r="P79" i="360"/>
  <c r="O79" i="360"/>
  <c r="N79" i="360"/>
  <c r="M79" i="360"/>
  <c r="L79" i="360"/>
  <c r="K79" i="360"/>
  <c r="J79" i="360"/>
  <c r="I79" i="360"/>
  <c r="H79" i="360"/>
  <c r="G79" i="360"/>
  <c r="F79" i="360"/>
  <c r="E79" i="360"/>
  <c r="D79" i="360"/>
  <c r="C79" i="360"/>
  <c r="B79" i="360"/>
  <c r="AB58" i="360"/>
  <c r="AN50" i="360"/>
  <c r="AQ49" i="360"/>
  <c r="AI49" i="360" a="1"/>
  <c r="AI49" i="360" s="1"/>
  <c r="AH49" i="360" a="1"/>
  <c r="AH49" i="360" s="1"/>
  <c r="A49" i="360"/>
  <c r="AQ48" i="360"/>
  <c r="AI48" i="360" a="1"/>
  <c r="AI48" i="360" s="1"/>
  <c r="AH48" i="360" a="1"/>
  <c r="AH48" i="360" s="1"/>
  <c r="A48" i="360"/>
  <c r="AQ47" i="360"/>
  <c r="AI47" i="360" a="1"/>
  <c r="AI47" i="360" s="1"/>
  <c r="AH47" i="360" a="1"/>
  <c r="AH47" i="360" s="1"/>
  <c r="A47" i="360"/>
  <c r="AQ46" i="360"/>
  <c r="AI46" i="360" a="1"/>
  <c r="AI46" i="360" s="1"/>
  <c r="AH46" i="360" a="1"/>
  <c r="AH46" i="360" s="1"/>
  <c r="A46" i="360"/>
  <c r="AQ45" i="360"/>
  <c r="AI45" i="360" a="1"/>
  <c r="AI45" i="360" s="1"/>
  <c r="AH45" i="360" a="1"/>
  <c r="AH45" i="360" s="1"/>
  <c r="A45" i="360"/>
  <c r="AQ44" i="360"/>
  <c r="AI44" i="360" a="1"/>
  <c r="AI44" i="360" s="1"/>
  <c r="AH44" i="360" a="1"/>
  <c r="AH44" i="360" s="1"/>
  <c r="A44" i="360"/>
  <c r="AQ43" i="360"/>
  <c r="AI43" i="360" a="1"/>
  <c r="AI43" i="360" s="1"/>
  <c r="AH43" i="360" a="1"/>
  <c r="AH43" i="360" s="1"/>
  <c r="A43" i="360"/>
  <c r="AQ42" i="360"/>
  <c r="AI42" i="360" a="1"/>
  <c r="AI42" i="360" s="1"/>
  <c r="AH42" i="360" a="1"/>
  <c r="AH42" i="360" s="1"/>
  <c r="AJ42" i="360" s="1"/>
  <c r="AK42" i="360" s="1"/>
  <c r="A42" i="360"/>
  <c r="AQ41" i="360"/>
  <c r="AI41" i="360" a="1"/>
  <c r="AI41" i="360" s="1"/>
  <c r="AH41" i="360" a="1"/>
  <c r="AH41" i="360" s="1"/>
  <c r="A41" i="360"/>
  <c r="AQ40" i="360"/>
  <c r="AI40" i="360" a="1"/>
  <c r="AI40" i="360" s="1"/>
  <c r="AH40" i="360" a="1"/>
  <c r="AH40" i="360" s="1"/>
  <c r="A40" i="360"/>
  <c r="AQ39" i="360"/>
  <c r="AI39" i="360" a="1"/>
  <c r="AI39" i="360" s="1"/>
  <c r="AH39" i="360" a="1"/>
  <c r="AH39" i="360" s="1"/>
  <c r="A39" i="360"/>
  <c r="AQ38" i="360"/>
  <c r="AI38" i="360" a="1"/>
  <c r="AI38" i="360" s="1"/>
  <c r="AH38" i="360" a="1"/>
  <c r="AH38" i="360" s="1"/>
  <c r="A38" i="360"/>
  <c r="AQ37" i="360"/>
  <c r="AI37" i="360" a="1"/>
  <c r="AI37" i="360" s="1"/>
  <c r="AH37" i="360" a="1"/>
  <c r="AH37" i="360" s="1"/>
  <c r="A37" i="360"/>
  <c r="AQ36" i="360"/>
  <c r="AI36" i="360" a="1"/>
  <c r="AI36" i="360" s="1"/>
  <c r="AH36" i="360" a="1"/>
  <c r="AH36" i="360" s="1"/>
  <c r="A36" i="360"/>
  <c r="AQ35" i="360"/>
  <c r="AI35" i="360" a="1"/>
  <c r="AI35" i="360" s="1"/>
  <c r="AH35" i="360" a="1"/>
  <c r="AH35" i="360" s="1"/>
  <c r="A35" i="360"/>
  <c r="AQ34" i="360"/>
  <c r="AI34" i="360" a="1"/>
  <c r="AI34" i="360" s="1"/>
  <c r="AH34" i="360" a="1"/>
  <c r="AH34" i="360" s="1"/>
  <c r="AJ34" i="360" s="1"/>
  <c r="AK34" i="360" s="1"/>
  <c r="A34" i="360"/>
  <c r="AQ33" i="360"/>
  <c r="AI33" i="360" a="1"/>
  <c r="AI33" i="360" s="1"/>
  <c r="AH33" i="360" a="1"/>
  <c r="AH33" i="360" s="1"/>
  <c r="A33" i="360"/>
  <c r="AQ32" i="360"/>
  <c r="AI32" i="360" a="1"/>
  <c r="AI32" i="360" s="1"/>
  <c r="AH32" i="360" a="1"/>
  <c r="AH32" i="360" s="1"/>
  <c r="AJ32" i="360" s="1"/>
  <c r="AK32" i="360" s="1"/>
  <c r="A32" i="360"/>
  <c r="AQ31" i="360"/>
  <c r="AI31" i="360" a="1"/>
  <c r="AI31" i="360" s="1"/>
  <c r="AH31" i="360" a="1"/>
  <c r="AH31" i="360" s="1"/>
  <c r="A31" i="360"/>
  <c r="AQ30" i="360"/>
  <c r="AI30" i="360" a="1"/>
  <c r="AI30" i="360" s="1"/>
  <c r="AH30" i="360" a="1"/>
  <c r="AH30" i="360" s="1"/>
  <c r="AJ30" i="360" s="1"/>
  <c r="AK30" i="360" s="1"/>
  <c r="A30" i="360"/>
  <c r="AQ29" i="360"/>
  <c r="AI29" i="360" a="1"/>
  <c r="AI29" i="360" s="1"/>
  <c r="AH29" i="360" a="1"/>
  <c r="AH29" i="360" s="1"/>
  <c r="A29" i="360"/>
  <c r="AQ28" i="360"/>
  <c r="AI28" i="360" a="1"/>
  <c r="AI28" i="360" s="1"/>
  <c r="AH28" i="360" a="1"/>
  <c r="AH28" i="360" s="1"/>
  <c r="A28" i="360"/>
  <c r="AQ27" i="360"/>
  <c r="AI27" i="360" a="1"/>
  <c r="AI27" i="360" s="1"/>
  <c r="AH27" i="360" a="1"/>
  <c r="AH27" i="360" s="1"/>
  <c r="A27" i="360"/>
  <c r="AQ26" i="360"/>
  <c r="AI26" i="360" a="1"/>
  <c r="AI26" i="360" s="1"/>
  <c r="AH26" i="360" a="1"/>
  <c r="AH26" i="360" s="1"/>
  <c r="A26" i="360"/>
  <c r="AQ25" i="360"/>
  <c r="AI25" i="360" a="1"/>
  <c r="AI25" i="360" s="1"/>
  <c r="AH25" i="360" a="1"/>
  <c r="AH25" i="360" s="1"/>
  <c r="A25" i="360"/>
  <c r="AQ24" i="360"/>
  <c r="AI24" i="360" a="1"/>
  <c r="AI24" i="360" s="1"/>
  <c r="AH24" i="360" a="1"/>
  <c r="AH24" i="360" s="1"/>
  <c r="A24" i="360"/>
  <c r="AQ23" i="360"/>
  <c r="AI23" i="360" a="1"/>
  <c r="AI23" i="360" s="1"/>
  <c r="AH23" i="360" a="1"/>
  <c r="AH23" i="360" s="1"/>
  <c r="A23" i="360"/>
  <c r="AQ22" i="360"/>
  <c r="AI22" i="360" a="1"/>
  <c r="AI22" i="360" s="1"/>
  <c r="AH22" i="360" a="1"/>
  <c r="AH22" i="360" s="1"/>
  <c r="A22" i="360"/>
  <c r="AQ21" i="360"/>
  <c r="AI21" i="360" a="1"/>
  <c r="AI21" i="360" s="1"/>
  <c r="AH21" i="360" a="1"/>
  <c r="AH21" i="360" s="1"/>
  <c r="A21" i="360"/>
  <c r="AQ20" i="360"/>
  <c r="AI20" i="360" a="1"/>
  <c r="AI20" i="360" s="1"/>
  <c r="AH20" i="360" a="1"/>
  <c r="AH20" i="360" s="1"/>
  <c r="A20" i="360"/>
  <c r="AQ19" i="360"/>
  <c r="AI19" i="360" a="1"/>
  <c r="AI19" i="360" s="1"/>
  <c r="AH19" i="360" a="1"/>
  <c r="AH19" i="360" s="1"/>
  <c r="A19" i="360"/>
  <c r="AQ18" i="360"/>
  <c r="AI18" i="360" a="1"/>
  <c r="AI18" i="360" s="1"/>
  <c r="AH18" i="360" a="1"/>
  <c r="AH18" i="360" s="1"/>
  <c r="A18" i="360"/>
  <c r="AQ17" i="360"/>
  <c r="AI17" i="360" a="1"/>
  <c r="AI17" i="360" s="1"/>
  <c r="AH17" i="360" a="1"/>
  <c r="AH17" i="360" s="1"/>
  <c r="A17" i="360"/>
  <c r="AQ16" i="360"/>
  <c r="AI16" i="360" a="1"/>
  <c r="AI16" i="360" s="1"/>
  <c r="AH16" i="360" a="1"/>
  <c r="AH16" i="360" s="1"/>
  <c r="A16" i="360"/>
  <c r="AQ15" i="360"/>
  <c r="AI15" i="360" a="1"/>
  <c r="AI15" i="360" s="1"/>
  <c r="AH15" i="360" a="1"/>
  <c r="AH15" i="360" s="1"/>
  <c r="A15" i="360"/>
  <c r="AQ14" i="360"/>
  <c r="AI14" i="360" a="1"/>
  <c r="AI14" i="360" s="1"/>
  <c r="AH14" i="360" a="1"/>
  <c r="AH14" i="360" s="1"/>
  <c r="A14" i="360"/>
  <c r="AQ13" i="360"/>
  <c r="AI13" i="360" a="1"/>
  <c r="AI13" i="360" s="1"/>
  <c r="AH13" i="360" a="1"/>
  <c r="AH13" i="360" s="1"/>
  <c r="A13" i="360"/>
  <c r="AQ12" i="360"/>
  <c r="AI12" i="360" a="1"/>
  <c r="AI12" i="360" s="1"/>
  <c r="AH12" i="360" a="1"/>
  <c r="AH12" i="360" s="1"/>
  <c r="A12" i="360"/>
  <c r="AQ11" i="360"/>
  <c r="AI11" i="360" a="1"/>
  <c r="AI11" i="360" s="1"/>
  <c r="AH11" i="360" a="1"/>
  <c r="AH11" i="360" s="1"/>
  <c r="A11" i="360"/>
  <c r="AQ10" i="360"/>
  <c r="AI10" i="360" a="1"/>
  <c r="AI10" i="360" s="1"/>
  <c r="AH10" i="360" a="1"/>
  <c r="AH10" i="360" s="1"/>
  <c r="A10" i="360"/>
  <c r="C4" i="360"/>
  <c r="L3" i="360"/>
  <c r="AF7" i="360" s="1"/>
  <c r="AF78" i="360" s="1"/>
  <c r="M1" i="360"/>
  <c r="AG88" i="359"/>
  <c r="AF88" i="359"/>
  <c r="AE88" i="359"/>
  <c r="AD88" i="359"/>
  <c r="AC88" i="359"/>
  <c r="AB88" i="359"/>
  <c r="AA88" i="359"/>
  <c r="Z88" i="359"/>
  <c r="Y88" i="359"/>
  <c r="X88" i="359"/>
  <c r="W88" i="359"/>
  <c r="V88" i="359"/>
  <c r="U88" i="359"/>
  <c r="T88" i="359"/>
  <c r="S88" i="359"/>
  <c r="R88" i="359"/>
  <c r="Q88" i="359"/>
  <c r="P88" i="359"/>
  <c r="O88" i="359"/>
  <c r="N88" i="359"/>
  <c r="M88" i="359"/>
  <c r="L88" i="359"/>
  <c r="K88" i="359"/>
  <c r="J88" i="359"/>
  <c r="I88" i="359"/>
  <c r="H88" i="359"/>
  <c r="G88" i="359"/>
  <c r="F88" i="359"/>
  <c r="E88" i="359"/>
  <c r="D88" i="359"/>
  <c r="C88" i="359"/>
  <c r="B88" i="359"/>
  <c r="AG87" i="359"/>
  <c r="AF87" i="359"/>
  <c r="AE87" i="359"/>
  <c r="AD87" i="359"/>
  <c r="AC87" i="359"/>
  <c r="AB87" i="359"/>
  <c r="AA87" i="359"/>
  <c r="Z87" i="359"/>
  <c r="Y87" i="359"/>
  <c r="X87" i="359"/>
  <c r="W87" i="359"/>
  <c r="V87" i="359"/>
  <c r="U87" i="359"/>
  <c r="T87" i="359"/>
  <c r="S87" i="359"/>
  <c r="R87" i="359"/>
  <c r="Q87" i="359"/>
  <c r="P87" i="359"/>
  <c r="O87" i="359"/>
  <c r="N87" i="359"/>
  <c r="M87" i="359"/>
  <c r="L87" i="359"/>
  <c r="K87" i="359"/>
  <c r="J87" i="359"/>
  <c r="I87" i="359"/>
  <c r="H87" i="359"/>
  <c r="G87" i="359"/>
  <c r="F87" i="359"/>
  <c r="E87" i="359"/>
  <c r="D87" i="359"/>
  <c r="C87" i="359"/>
  <c r="B87" i="359"/>
  <c r="AG86" i="359"/>
  <c r="AF86" i="359"/>
  <c r="AE86" i="359"/>
  <c r="AD86" i="359"/>
  <c r="AC86" i="359"/>
  <c r="AB86" i="359"/>
  <c r="AA86" i="359"/>
  <c r="Z86" i="359"/>
  <c r="Y86" i="359"/>
  <c r="X86" i="359"/>
  <c r="W86" i="359"/>
  <c r="V86" i="359"/>
  <c r="U86" i="359"/>
  <c r="T86" i="359"/>
  <c r="S86" i="359"/>
  <c r="R86" i="359"/>
  <c r="Q86" i="359"/>
  <c r="P86" i="359"/>
  <c r="O86" i="359"/>
  <c r="N86" i="359"/>
  <c r="M86" i="359"/>
  <c r="L86" i="359"/>
  <c r="K86" i="359"/>
  <c r="J86" i="359"/>
  <c r="I86" i="359"/>
  <c r="H86" i="359"/>
  <c r="G86" i="359"/>
  <c r="F86" i="359"/>
  <c r="E86" i="359"/>
  <c r="D86" i="359"/>
  <c r="C86" i="359"/>
  <c r="B86" i="359"/>
  <c r="AG85" i="359"/>
  <c r="AF85" i="359"/>
  <c r="AE85" i="359"/>
  <c r="AD85" i="359"/>
  <c r="AC85" i="359"/>
  <c r="AB85" i="359"/>
  <c r="AA85" i="359"/>
  <c r="Z85" i="359"/>
  <c r="Y85" i="359"/>
  <c r="X85" i="359"/>
  <c r="W85" i="359"/>
  <c r="V85" i="359"/>
  <c r="U85" i="359"/>
  <c r="T85" i="359"/>
  <c r="S85" i="359"/>
  <c r="R85" i="359"/>
  <c r="Q85" i="359"/>
  <c r="P85" i="359"/>
  <c r="O85" i="359"/>
  <c r="N85" i="359"/>
  <c r="M85" i="359"/>
  <c r="L85" i="359"/>
  <c r="K85" i="359"/>
  <c r="J85" i="359"/>
  <c r="I85" i="359"/>
  <c r="H85" i="359"/>
  <c r="G85" i="359"/>
  <c r="F85" i="359"/>
  <c r="E85" i="359"/>
  <c r="D85" i="359"/>
  <c r="C85" i="359"/>
  <c r="B85" i="359"/>
  <c r="AG84" i="359"/>
  <c r="AF84" i="359"/>
  <c r="AE84" i="359"/>
  <c r="AD84" i="359"/>
  <c r="AC84" i="359"/>
  <c r="AB84" i="359"/>
  <c r="AA84" i="359"/>
  <c r="Z84" i="359"/>
  <c r="Y84" i="359"/>
  <c r="X84" i="359"/>
  <c r="W84" i="359"/>
  <c r="V84" i="359"/>
  <c r="U84" i="359"/>
  <c r="T84" i="359"/>
  <c r="S84" i="359"/>
  <c r="R84" i="359"/>
  <c r="Q84" i="359"/>
  <c r="P84" i="359"/>
  <c r="O84" i="359"/>
  <c r="N84" i="359"/>
  <c r="M84" i="359"/>
  <c r="L84" i="359"/>
  <c r="K84" i="359"/>
  <c r="J84" i="359"/>
  <c r="I84" i="359"/>
  <c r="H84" i="359"/>
  <c r="G84" i="359"/>
  <c r="F84" i="359"/>
  <c r="E84" i="359"/>
  <c r="D84" i="359"/>
  <c r="C84" i="359"/>
  <c r="B84" i="359"/>
  <c r="AG83" i="359"/>
  <c r="AF83" i="359"/>
  <c r="AE83" i="359"/>
  <c r="AD83" i="359"/>
  <c r="AC83" i="359"/>
  <c r="AB83" i="359"/>
  <c r="AA83" i="359"/>
  <c r="Z83" i="359"/>
  <c r="Y83" i="359"/>
  <c r="X83" i="359"/>
  <c r="W83" i="359"/>
  <c r="V83" i="359"/>
  <c r="U83" i="359"/>
  <c r="T83" i="359"/>
  <c r="S83" i="359"/>
  <c r="R83" i="359"/>
  <c r="Q83" i="359"/>
  <c r="P83" i="359"/>
  <c r="O83" i="359"/>
  <c r="N83" i="359"/>
  <c r="M83" i="359"/>
  <c r="L83" i="359"/>
  <c r="K83" i="359"/>
  <c r="J83" i="359"/>
  <c r="I83" i="359"/>
  <c r="H83" i="359"/>
  <c r="G83" i="359"/>
  <c r="F83" i="359"/>
  <c r="E83" i="359"/>
  <c r="D83" i="359"/>
  <c r="C83" i="359"/>
  <c r="B83" i="359"/>
  <c r="AG82" i="359"/>
  <c r="AF82" i="359"/>
  <c r="AE82" i="359"/>
  <c r="AD82" i="359"/>
  <c r="AC82" i="359"/>
  <c r="AB82" i="359"/>
  <c r="AA82" i="359"/>
  <c r="Z82" i="359"/>
  <c r="Y82" i="359"/>
  <c r="X82" i="359"/>
  <c r="W82" i="359"/>
  <c r="V82" i="359"/>
  <c r="U82" i="359"/>
  <c r="T82" i="359"/>
  <c r="S82" i="359"/>
  <c r="R82" i="359"/>
  <c r="Q82" i="359"/>
  <c r="P82" i="359"/>
  <c r="O82" i="359"/>
  <c r="N82" i="359"/>
  <c r="M82" i="359"/>
  <c r="L82" i="359"/>
  <c r="K82" i="359"/>
  <c r="J82" i="359"/>
  <c r="I82" i="359"/>
  <c r="H82" i="359"/>
  <c r="G82" i="359"/>
  <c r="F82" i="359"/>
  <c r="E82" i="359"/>
  <c r="D82" i="359"/>
  <c r="C82" i="359"/>
  <c r="B82" i="359"/>
  <c r="AG81" i="359"/>
  <c r="AF81" i="359"/>
  <c r="AE81" i="359"/>
  <c r="AD81" i="359"/>
  <c r="AC81" i="359"/>
  <c r="AB81" i="359"/>
  <c r="AA81" i="359"/>
  <c r="Z81" i="359"/>
  <c r="Y81" i="359"/>
  <c r="X81" i="359"/>
  <c r="W81" i="359"/>
  <c r="V81" i="359"/>
  <c r="U81" i="359"/>
  <c r="T81" i="359"/>
  <c r="S81" i="359"/>
  <c r="R81" i="359"/>
  <c r="Q81" i="359"/>
  <c r="P81" i="359"/>
  <c r="O81" i="359"/>
  <c r="N81" i="359"/>
  <c r="M81" i="359"/>
  <c r="L81" i="359"/>
  <c r="K81" i="359"/>
  <c r="J81" i="359"/>
  <c r="I81" i="359"/>
  <c r="H81" i="359"/>
  <c r="G81" i="359"/>
  <c r="F81" i="359"/>
  <c r="E81" i="359"/>
  <c r="D81" i="359"/>
  <c r="C81" i="359"/>
  <c r="B81" i="359"/>
  <c r="AG80" i="359"/>
  <c r="AF80" i="359"/>
  <c r="AE80" i="359"/>
  <c r="AD80" i="359"/>
  <c r="AC80" i="359"/>
  <c r="AB80" i="359"/>
  <c r="AA80" i="359"/>
  <c r="Z80" i="359"/>
  <c r="Y80" i="359"/>
  <c r="X80" i="359"/>
  <c r="W80" i="359"/>
  <c r="V80" i="359"/>
  <c r="U80" i="359"/>
  <c r="T80" i="359"/>
  <c r="S80" i="359"/>
  <c r="R80" i="359"/>
  <c r="Q80" i="359"/>
  <c r="P80" i="359"/>
  <c r="O80" i="359"/>
  <c r="N80" i="359"/>
  <c r="M80" i="359"/>
  <c r="L80" i="359"/>
  <c r="K80" i="359"/>
  <c r="J80" i="359"/>
  <c r="I80" i="359"/>
  <c r="H80" i="359"/>
  <c r="G80" i="359"/>
  <c r="F80" i="359"/>
  <c r="E80" i="359"/>
  <c r="D80" i="359"/>
  <c r="C80" i="359"/>
  <c r="B80" i="359"/>
  <c r="AG79" i="359"/>
  <c r="AF79" i="359"/>
  <c r="AE79" i="359"/>
  <c r="AD79" i="359"/>
  <c r="AC79" i="359"/>
  <c r="AB79" i="359"/>
  <c r="AA79" i="359"/>
  <c r="Z79" i="359"/>
  <c r="Y79" i="359"/>
  <c r="X79" i="359"/>
  <c r="W79" i="359"/>
  <c r="V79" i="359"/>
  <c r="U79" i="359"/>
  <c r="T79" i="359"/>
  <c r="S79" i="359"/>
  <c r="R79" i="359"/>
  <c r="Q79" i="359"/>
  <c r="P79" i="359"/>
  <c r="O79" i="359"/>
  <c r="N79" i="359"/>
  <c r="M79" i="359"/>
  <c r="L79" i="359"/>
  <c r="K79" i="359"/>
  <c r="J79" i="359"/>
  <c r="I79" i="359"/>
  <c r="H79" i="359"/>
  <c r="G79" i="359"/>
  <c r="F79" i="359"/>
  <c r="E79" i="359"/>
  <c r="D79" i="359"/>
  <c r="C79" i="359"/>
  <c r="B79" i="359"/>
  <c r="AB58" i="359"/>
  <c r="AN50" i="359"/>
  <c r="AQ49" i="359"/>
  <c r="AI49" i="359" a="1"/>
  <c r="AI49" i="359" s="1"/>
  <c r="AH49" i="359" a="1"/>
  <c r="AH49" i="359" s="1"/>
  <c r="A49" i="359"/>
  <c r="AQ48" i="359"/>
  <c r="AI48" i="359" a="1"/>
  <c r="AI48" i="359" s="1"/>
  <c r="AH48" i="359" a="1"/>
  <c r="AH48" i="359" s="1"/>
  <c r="A48" i="359"/>
  <c r="AQ47" i="359"/>
  <c r="AI47" i="359" a="1"/>
  <c r="AI47" i="359" s="1"/>
  <c r="AH47" i="359" a="1"/>
  <c r="AH47" i="359" s="1"/>
  <c r="A47" i="359"/>
  <c r="AQ46" i="359"/>
  <c r="AI46" i="359" a="1"/>
  <c r="AI46" i="359" s="1"/>
  <c r="AH46" i="359" a="1"/>
  <c r="AH46" i="359" s="1"/>
  <c r="A46" i="359"/>
  <c r="AQ45" i="359"/>
  <c r="AI45" i="359" a="1"/>
  <c r="AI45" i="359" s="1"/>
  <c r="AH45" i="359" a="1"/>
  <c r="AH45" i="359" s="1"/>
  <c r="A45" i="359"/>
  <c r="AQ44" i="359"/>
  <c r="AI44" i="359" a="1"/>
  <c r="AI44" i="359" s="1"/>
  <c r="AH44" i="359" a="1"/>
  <c r="AH44" i="359" s="1"/>
  <c r="A44" i="359"/>
  <c r="AQ43" i="359"/>
  <c r="AI43" i="359" a="1"/>
  <c r="AI43" i="359" s="1"/>
  <c r="AH43" i="359" a="1"/>
  <c r="AH43" i="359" s="1"/>
  <c r="A43" i="359"/>
  <c r="AQ42" i="359"/>
  <c r="AI42" i="359" a="1"/>
  <c r="AI42" i="359" s="1"/>
  <c r="AH42" i="359" a="1"/>
  <c r="AH42" i="359" s="1"/>
  <c r="A42" i="359"/>
  <c r="AQ41" i="359"/>
  <c r="AI41" i="359" a="1"/>
  <c r="AI41" i="359" s="1"/>
  <c r="AH41" i="359" a="1"/>
  <c r="AH41" i="359" s="1"/>
  <c r="A41" i="359"/>
  <c r="AQ40" i="359"/>
  <c r="AI40" i="359" a="1"/>
  <c r="AI40" i="359" s="1"/>
  <c r="AH40" i="359" a="1"/>
  <c r="AH40" i="359" s="1"/>
  <c r="A40" i="359"/>
  <c r="AQ39" i="359"/>
  <c r="AI39" i="359" a="1"/>
  <c r="AI39" i="359" s="1"/>
  <c r="AH39" i="359" a="1"/>
  <c r="AH39" i="359" s="1"/>
  <c r="A39" i="359"/>
  <c r="AQ38" i="359"/>
  <c r="AI38" i="359" a="1"/>
  <c r="AI38" i="359" s="1"/>
  <c r="AH38" i="359" a="1"/>
  <c r="AH38" i="359" s="1"/>
  <c r="A38" i="359"/>
  <c r="AQ37" i="359"/>
  <c r="AI37" i="359" a="1"/>
  <c r="AI37" i="359" s="1"/>
  <c r="AH37" i="359" a="1"/>
  <c r="AH37" i="359" s="1"/>
  <c r="A37" i="359"/>
  <c r="AQ36" i="359"/>
  <c r="AI36" i="359" a="1"/>
  <c r="AI36" i="359" s="1"/>
  <c r="AH36" i="359" a="1"/>
  <c r="AH36" i="359" s="1"/>
  <c r="A36" i="359"/>
  <c r="AQ35" i="359"/>
  <c r="AI35" i="359" a="1"/>
  <c r="AI35" i="359" s="1"/>
  <c r="AH35" i="359" a="1"/>
  <c r="AH35" i="359" s="1"/>
  <c r="A35" i="359"/>
  <c r="AQ34" i="359"/>
  <c r="AI34" i="359" a="1"/>
  <c r="AI34" i="359" s="1"/>
  <c r="AH34" i="359" a="1"/>
  <c r="AH34" i="359" s="1"/>
  <c r="A34" i="359"/>
  <c r="AQ33" i="359"/>
  <c r="AI33" i="359" a="1"/>
  <c r="AI33" i="359" s="1"/>
  <c r="AH33" i="359" a="1"/>
  <c r="AH33" i="359" s="1"/>
  <c r="A33" i="359"/>
  <c r="AQ32" i="359"/>
  <c r="AI32" i="359" a="1"/>
  <c r="AI32" i="359" s="1"/>
  <c r="AH32" i="359" a="1"/>
  <c r="AH32" i="359" s="1"/>
  <c r="A32" i="359"/>
  <c r="AQ31" i="359"/>
  <c r="AI31" i="359" a="1"/>
  <c r="AI31" i="359" s="1"/>
  <c r="AH31" i="359" a="1"/>
  <c r="AH31" i="359" s="1"/>
  <c r="A31" i="359"/>
  <c r="AQ30" i="359"/>
  <c r="AI30" i="359" a="1"/>
  <c r="AI30" i="359" s="1"/>
  <c r="AH30" i="359" a="1"/>
  <c r="AH30" i="359" s="1"/>
  <c r="A30" i="359"/>
  <c r="AQ29" i="359"/>
  <c r="AI29" i="359" a="1"/>
  <c r="AI29" i="359" s="1"/>
  <c r="AH29" i="359" a="1"/>
  <c r="AH29" i="359" s="1"/>
  <c r="A29" i="359"/>
  <c r="AQ28" i="359"/>
  <c r="AI28" i="359" a="1"/>
  <c r="AI28" i="359" s="1"/>
  <c r="AH28" i="359" a="1"/>
  <c r="AH28" i="359" s="1"/>
  <c r="A28" i="359"/>
  <c r="AQ27" i="359"/>
  <c r="AI27" i="359" a="1"/>
  <c r="AI27" i="359" s="1"/>
  <c r="AH27" i="359" a="1"/>
  <c r="AH27" i="359" s="1"/>
  <c r="A27" i="359"/>
  <c r="AQ26" i="359"/>
  <c r="AI26" i="359" a="1"/>
  <c r="AI26" i="359" s="1"/>
  <c r="AH26" i="359" a="1"/>
  <c r="AH26" i="359" s="1"/>
  <c r="A26" i="359"/>
  <c r="AQ25" i="359"/>
  <c r="AI25" i="359" a="1"/>
  <c r="AI25" i="359" s="1"/>
  <c r="AH25" i="359" a="1"/>
  <c r="AH25" i="359" s="1"/>
  <c r="A25" i="359"/>
  <c r="AQ24" i="359"/>
  <c r="AI24" i="359" a="1"/>
  <c r="AI24" i="359" s="1"/>
  <c r="AH24" i="359" a="1"/>
  <c r="AH24" i="359" s="1"/>
  <c r="A24" i="359"/>
  <c r="AQ23" i="359"/>
  <c r="AI23" i="359" a="1"/>
  <c r="AI23" i="359" s="1"/>
  <c r="AH23" i="359" a="1"/>
  <c r="AH23" i="359" s="1"/>
  <c r="A23" i="359"/>
  <c r="AQ22" i="359"/>
  <c r="AI22" i="359" a="1"/>
  <c r="AI22" i="359" s="1"/>
  <c r="AH22" i="359" a="1"/>
  <c r="AH22" i="359" s="1"/>
  <c r="A22" i="359"/>
  <c r="AQ21" i="359"/>
  <c r="AI21" i="359" a="1"/>
  <c r="AI21" i="359" s="1"/>
  <c r="AH21" i="359" a="1"/>
  <c r="AH21" i="359" s="1"/>
  <c r="A21" i="359"/>
  <c r="AQ20" i="359"/>
  <c r="AI20" i="359" a="1"/>
  <c r="AI20" i="359" s="1"/>
  <c r="AH20" i="359" a="1"/>
  <c r="AH20" i="359" s="1"/>
  <c r="A20" i="359"/>
  <c r="AQ19" i="359"/>
  <c r="AI19" i="359" a="1"/>
  <c r="AI19" i="359" s="1"/>
  <c r="AH19" i="359" a="1"/>
  <c r="AH19" i="359" s="1"/>
  <c r="A19" i="359"/>
  <c r="AQ18" i="359"/>
  <c r="AI18" i="359" a="1"/>
  <c r="AI18" i="359" s="1"/>
  <c r="AH18" i="359" a="1"/>
  <c r="AH18" i="359" s="1"/>
  <c r="A18" i="359"/>
  <c r="AQ17" i="359"/>
  <c r="AI17" i="359" a="1"/>
  <c r="AI17" i="359" s="1"/>
  <c r="AH17" i="359" a="1"/>
  <c r="AH17" i="359" s="1"/>
  <c r="A17" i="359"/>
  <c r="AQ16" i="359"/>
  <c r="AI16" i="359" a="1"/>
  <c r="AI16" i="359" s="1"/>
  <c r="AH16" i="359" a="1"/>
  <c r="AH16" i="359" s="1"/>
  <c r="A16" i="359"/>
  <c r="AQ15" i="359"/>
  <c r="AI15" i="359" a="1"/>
  <c r="AI15" i="359" s="1"/>
  <c r="AH15" i="359" a="1"/>
  <c r="AH15" i="359" s="1"/>
  <c r="A15" i="359"/>
  <c r="AQ14" i="359"/>
  <c r="AI14" i="359" a="1"/>
  <c r="AI14" i="359" s="1"/>
  <c r="AH14" i="359" a="1"/>
  <c r="AH14" i="359" s="1"/>
  <c r="A14" i="359"/>
  <c r="AQ13" i="359"/>
  <c r="AI13" i="359" a="1"/>
  <c r="AI13" i="359" s="1"/>
  <c r="AH13" i="359" a="1"/>
  <c r="AH13" i="359" s="1"/>
  <c r="A13" i="359"/>
  <c r="AQ12" i="359"/>
  <c r="AI12" i="359" a="1"/>
  <c r="AI12" i="359" s="1"/>
  <c r="AH12" i="359" a="1"/>
  <c r="AH12" i="359" s="1"/>
  <c r="A12" i="359"/>
  <c r="AQ11" i="359"/>
  <c r="AI11" i="359" a="1"/>
  <c r="AI11" i="359" s="1"/>
  <c r="AH11" i="359" a="1"/>
  <c r="AH11" i="359" s="1"/>
  <c r="A11" i="359"/>
  <c r="AQ10" i="359"/>
  <c r="AI10" i="359" a="1"/>
  <c r="AI10" i="359" s="1"/>
  <c r="AH10" i="359" a="1"/>
  <c r="AH10" i="359" s="1"/>
  <c r="A10" i="359"/>
  <c r="C4" i="359"/>
  <c r="L3" i="359"/>
  <c r="AE7" i="359" s="1"/>
  <c r="AE78" i="359" s="1"/>
  <c r="M1" i="359"/>
  <c r="AG88" i="358"/>
  <c r="AF88" i="358"/>
  <c r="AE88" i="358"/>
  <c r="AD88" i="358"/>
  <c r="AC88" i="358"/>
  <c r="AB88" i="358"/>
  <c r="AA88" i="358"/>
  <c r="Z88" i="358"/>
  <c r="Y88" i="358"/>
  <c r="X88" i="358"/>
  <c r="W88" i="358"/>
  <c r="V88" i="358"/>
  <c r="U88" i="358"/>
  <c r="T88" i="358"/>
  <c r="S88" i="358"/>
  <c r="R88" i="358"/>
  <c r="Q88" i="358"/>
  <c r="P88" i="358"/>
  <c r="O88" i="358"/>
  <c r="N88" i="358"/>
  <c r="M88" i="358"/>
  <c r="L88" i="358"/>
  <c r="K88" i="358"/>
  <c r="J88" i="358"/>
  <c r="I88" i="358"/>
  <c r="H88" i="358"/>
  <c r="G88" i="358"/>
  <c r="F88" i="358"/>
  <c r="E88" i="358"/>
  <c r="D88" i="358"/>
  <c r="C88" i="358"/>
  <c r="B88" i="358"/>
  <c r="AG87" i="358"/>
  <c r="AF87" i="358"/>
  <c r="AE87" i="358"/>
  <c r="AD87" i="358"/>
  <c r="AC87" i="358"/>
  <c r="AB87" i="358"/>
  <c r="AA87" i="358"/>
  <c r="Z87" i="358"/>
  <c r="Y87" i="358"/>
  <c r="X87" i="358"/>
  <c r="W87" i="358"/>
  <c r="V87" i="358"/>
  <c r="U87" i="358"/>
  <c r="T87" i="358"/>
  <c r="S87" i="358"/>
  <c r="R87" i="358"/>
  <c r="Q87" i="358"/>
  <c r="P87" i="358"/>
  <c r="O87" i="358"/>
  <c r="N87" i="358"/>
  <c r="M87" i="358"/>
  <c r="L87" i="358"/>
  <c r="K87" i="358"/>
  <c r="J87" i="358"/>
  <c r="I87" i="358"/>
  <c r="H87" i="358"/>
  <c r="G87" i="358"/>
  <c r="F87" i="358"/>
  <c r="E87" i="358"/>
  <c r="D87" i="358"/>
  <c r="C87" i="358"/>
  <c r="B87" i="358"/>
  <c r="AG86" i="358"/>
  <c r="AF86" i="358"/>
  <c r="AE86" i="358"/>
  <c r="AD86" i="358"/>
  <c r="AC86" i="358"/>
  <c r="AB86" i="358"/>
  <c r="AA86" i="358"/>
  <c r="Z86" i="358"/>
  <c r="Y86" i="358"/>
  <c r="X86" i="358"/>
  <c r="W86" i="358"/>
  <c r="V86" i="358"/>
  <c r="U86" i="358"/>
  <c r="T86" i="358"/>
  <c r="S86" i="358"/>
  <c r="R86" i="358"/>
  <c r="Q86" i="358"/>
  <c r="P86" i="358"/>
  <c r="O86" i="358"/>
  <c r="N86" i="358"/>
  <c r="M86" i="358"/>
  <c r="L86" i="358"/>
  <c r="K86" i="358"/>
  <c r="J86" i="358"/>
  <c r="I86" i="358"/>
  <c r="H86" i="358"/>
  <c r="G86" i="358"/>
  <c r="F86" i="358"/>
  <c r="E86" i="358"/>
  <c r="D86" i="358"/>
  <c r="C86" i="358"/>
  <c r="B86" i="358"/>
  <c r="AG85" i="358"/>
  <c r="AF85" i="358"/>
  <c r="AE85" i="358"/>
  <c r="AD85" i="358"/>
  <c r="AC85" i="358"/>
  <c r="AB85" i="358"/>
  <c r="AA85" i="358"/>
  <c r="Z85" i="358"/>
  <c r="Y85" i="358"/>
  <c r="X85" i="358"/>
  <c r="W85" i="358"/>
  <c r="V85" i="358"/>
  <c r="U85" i="358"/>
  <c r="T85" i="358"/>
  <c r="S85" i="358"/>
  <c r="R85" i="358"/>
  <c r="Q85" i="358"/>
  <c r="P85" i="358"/>
  <c r="O85" i="358"/>
  <c r="N85" i="358"/>
  <c r="M85" i="358"/>
  <c r="L85" i="358"/>
  <c r="K85" i="358"/>
  <c r="J85" i="358"/>
  <c r="I85" i="358"/>
  <c r="H85" i="358"/>
  <c r="G85" i="358"/>
  <c r="F85" i="358"/>
  <c r="E85" i="358"/>
  <c r="D85" i="358"/>
  <c r="C85" i="358"/>
  <c r="B85" i="358"/>
  <c r="AG84" i="358"/>
  <c r="AF84" i="358"/>
  <c r="AE84" i="358"/>
  <c r="AD84" i="358"/>
  <c r="AC84" i="358"/>
  <c r="AB84" i="358"/>
  <c r="AA84" i="358"/>
  <c r="Z84" i="358"/>
  <c r="Y84" i="358"/>
  <c r="X84" i="358"/>
  <c r="W84" i="358"/>
  <c r="V84" i="358"/>
  <c r="U84" i="358"/>
  <c r="T84" i="358"/>
  <c r="S84" i="358"/>
  <c r="R84" i="358"/>
  <c r="Q84" i="358"/>
  <c r="P84" i="358"/>
  <c r="O84" i="358"/>
  <c r="N84" i="358"/>
  <c r="M84" i="358"/>
  <c r="L84" i="358"/>
  <c r="K84" i="358"/>
  <c r="J84" i="358"/>
  <c r="I84" i="358"/>
  <c r="H84" i="358"/>
  <c r="G84" i="358"/>
  <c r="F84" i="358"/>
  <c r="E84" i="358"/>
  <c r="D84" i="358"/>
  <c r="C84" i="358"/>
  <c r="B84" i="358"/>
  <c r="AG83" i="358"/>
  <c r="AF83" i="358"/>
  <c r="AE83" i="358"/>
  <c r="AD83" i="358"/>
  <c r="AC83" i="358"/>
  <c r="AB83" i="358"/>
  <c r="AA83" i="358"/>
  <c r="Z83" i="358"/>
  <c r="Y83" i="358"/>
  <c r="X83" i="358"/>
  <c r="W83" i="358"/>
  <c r="V83" i="358"/>
  <c r="U83" i="358"/>
  <c r="T83" i="358"/>
  <c r="S83" i="358"/>
  <c r="R83" i="358"/>
  <c r="Q83" i="358"/>
  <c r="P83" i="358"/>
  <c r="O83" i="358"/>
  <c r="N83" i="358"/>
  <c r="M83" i="358"/>
  <c r="L83" i="358"/>
  <c r="K83" i="358"/>
  <c r="J83" i="358"/>
  <c r="I83" i="358"/>
  <c r="H83" i="358"/>
  <c r="G83" i="358"/>
  <c r="F83" i="358"/>
  <c r="E83" i="358"/>
  <c r="D83" i="358"/>
  <c r="C83" i="358"/>
  <c r="B83" i="358"/>
  <c r="AG82" i="358"/>
  <c r="AF82" i="358"/>
  <c r="AE82" i="358"/>
  <c r="AD82" i="358"/>
  <c r="AC82" i="358"/>
  <c r="AB82" i="358"/>
  <c r="AA82" i="358"/>
  <c r="Z82" i="358"/>
  <c r="Y82" i="358"/>
  <c r="X82" i="358"/>
  <c r="W82" i="358"/>
  <c r="V82" i="358"/>
  <c r="U82" i="358"/>
  <c r="T82" i="358"/>
  <c r="S82" i="358"/>
  <c r="R82" i="358"/>
  <c r="Q82" i="358"/>
  <c r="P82" i="358"/>
  <c r="O82" i="358"/>
  <c r="N82" i="358"/>
  <c r="M82" i="358"/>
  <c r="L82" i="358"/>
  <c r="K82" i="358"/>
  <c r="J82" i="358"/>
  <c r="I82" i="358"/>
  <c r="H82" i="358"/>
  <c r="G82" i="358"/>
  <c r="F82" i="358"/>
  <c r="E82" i="358"/>
  <c r="D82" i="358"/>
  <c r="C82" i="358"/>
  <c r="B82" i="358"/>
  <c r="AG81" i="358"/>
  <c r="AF81" i="358"/>
  <c r="AE81" i="358"/>
  <c r="AD81" i="358"/>
  <c r="AC81" i="358"/>
  <c r="AB81" i="358"/>
  <c r="AA81" i="358"/>
  <c r="Z81" i="358"/>
  <c r="Y81" i="358"/>
  <c r="X81" i="358"/>
  <c r="W81" i="358"/>
  <c r="V81" i="358"/>
  <c r="U81" i="358"/>
  <c r="T81" i="358"/>
  <c r="S81" i="358"/>
  <c r="R81" i="358"/>
  <c r="Q81" i="358"/>
  <c r="P81" i="358"/>
  <c r="O81" i="358"/>
  <c r="N81" i="358"/>
  <c r="M81" i="358"/>
  <c r="L81" i="358"/>
  <c r="K81" i="358"/>
  <c r="J81" i="358"/>
  <c r="I81" i="358"/>
  <c r="H81" i="358"/>
  <c r="G81" i="358"/>
  <c r="F81" i="358"/>
  <c r="E81" i="358"/>
  <c r="D81" i="358"/>
  <c r="C81" i="358"/>
  <c r="B81" i="358"/>
  <c r="AG80" i="358"/>
  <c r="AF80" i="358"/>
  <c r="AE80" i="358"/>
  <c r="AD80" i="358"/>
  <c r="AC80" i="358"/>
  <c r="AB80" i="358"/>
  <c r="AA80" i="358"/>
  <c r="Z80" i="358"/>
  <c r="Y80" i="358"/>
  <c r="X80" i="358"/>
  <c r="W80" i="358"/>
  <c r="V80" i="358"/>
  <c r="U80" i="358"/>
  <c r="T80" i="358"/>
  <c r="S80" i="358"/>
  <c r="R80" i="358"/>
  <c r="Q80" i="358"/>
  <c r="P80" i="358"/>
  <c r="O80" i="358"/>
  <c r="N80" i="358"/>
  <c r="M80" i="358"/>
  <c r="L80" i="358"/>
  <c r="K80" i="358"/>
  <c r="J80" i="358"/>
  <c r="I80" i="358"/>
  <c r="H80" i="358"/>
  <c r="G80" i="358"/>
  <c r="F80" i="358"/>
  <c r="E80" i="358"/>
  <c r="D80" i="358"/>
  <c r="C80" i="358"/>
  <c r="B80" i="358"/>
  <c r="AG79" i="358"/>
  <c r="AF79" i="358"/>
  <c r="AE79" i="358"/>
  <c r="AD79" i="358"/>
  <c r="AC79" i="358"/>
  <c r="AB79" i="358"/>
  <c r="AA79" i="358"/>
  <c r="Z79" i="358"/>
  <c r="Y79" i="358"/>
  <c r="X79" i="358"/>
  <c r="W79" i="358"/>
  <c r="V79" i="358"/>
  <c r="U79" i="358"/>
  <c r="T79" i="358"/>
  <c r="S79" i="358"/>
  <c r="R79" i="358"/>
  <c r="Q79" i="358"/>
  <c r="P79" i="358"/>
  <c r="O79" i="358"/>
  <c r="N79" i="358"/>
  <c r="M79" i="358"/>
  <c r="L79" i="358"/>
  <c r="K79" i="358"/>
  <c r="J79" i="358"/>
  <c r="I79" i="358"/>
  <c r="H79" i="358"/>
  <c r="G79" i="358"/>
  <c r="F79" i="358"/>
  <c r="E79" i="358"/>
  <c r="D79" i="358"/>
  <c r="C79" i="358"/>
  <c r="B79" i="358"/>
  <c r="AB58" i="358"/>
  <c r="AN50" i="358"/>
  <c r="AQ49" i="358"/>
  <c r="AI49" i="358" a="1"/>
  <c r="AI49" i="358" s="1"/>
  <c r="AH49" i="358" a="1"/>
  <c r="AH49" i="358" s="1"/>
  <c r="A49" i="358"/>
  <c r="AQ48" i="358"/>
  <c r="AI48" i="358" a="1"/>
  <c r="AI48" i="358" s="1"/>
  <c r="AH48" i="358" a="1"/>
  <c r="AH48" i="358" s="1"/>
  <c r="AJ48" i="358" s="1"/>
  <c r="AK48" i="358" s="1"/>
  <c r="A48" i="358"/>
  <c r="AQ47" i="358"/>
  <c r="AI47" i="358" a="1"/>
  <c r="AI47" i="358" s="1"/>
  <c r="AH47" i="358" a="1"/>
  <c r="AH47" i="358" s="1"/>
  <c r="A47" i="358"/>
  <c r="AQ46" i="358"/>
  <c r="AI46" i="358" a="1"/>
  <c r="AI46" i="358" s="1"/>
  <c r="AH46" i="358" a="1"/>
  <c r="AH46" i="358" s="1"/>
  <c r="A46" i="358"/>
  <c r="AQ45" i="358"/>
  <c r="AI45" i="358" a="1"/>
  <c r="AI45" i="358" s="1"/>
  <c r="AH45" i="358" a="1"/>
  <c r="AH45" i="358" s="1"/>
  <c r="A45" i="358"/>
  <c r="AQ44" i="358"/>
  <c r="AI44" i="358" a="1"/>
  <c r="AI44" i="358" s="1"/>
  <c r="AH44" i="358" a="1"/>
  <c r="AH44" i="358" s="1"/>
  <c r="A44" i="358"/>
  <c r="AQ43" i="358"/>
  <c r="AI43" i="358" a="1"/>
  <c r="AI43" i="358" s="1"/>
  <c r="AH43" i="358" a="1"/>
  <c r="AH43" i="358" s="1"/>
  <c r="A43" i="358"/>
  <c r="AQ42" i="358"/>
  <c r="AI42" i="358" a="1"/>
  <c r="AI42" i="358" s="1"/>
  <c r="AH42" i="358" a="1"/>
  <c r="AH42" i="358" s="1"/>
  <c r="A42" i="358"/>
  <c r="AQ41" i="358"/>
  <c r="AI41" i="358" a="1"/>
  <c r="AI41" i="358" s="1"/>
  <c r="AH41" i="358" a="1"/>
  <c r="AH41" i="358" s="1"/>
  <c r="A41" i="358"/>
  <c r="AQ40" i="358"/>
  <c r="AI40" i="358" a="1"/>
  <c r="AI40" i="358" s="1"/>
  <c r="AH40" i="358" a="1"/>
  <c r="AH40" i="358" s="1"/>
  <c r="A40" i="358"/>
  <c r="AQ39" i="358"/>
  <c r="AI39" i="358" a="1"/>
  <c r="AI39" i="358" s="1"/>
  <c r="AH39" i="358" a="1"/>
  <c r="AH39" i="358" s="1"/>
  <c r="A39" i="358"/>
  <c r="AQ38" i="358"/>
  <c r="AI38" i="358" a="1"/>
  <c r="AI38" i="358" s="1"/>
  <c r="AH38" i="358" a="1"/>
  <c r="AH38" i="358" s="1"/>
  <c r="A38" i="358"/>
  <c r="AQ37" i="358"/>
  <c r="AI37" i="358" a="1"/>
  <c r="AI37" i="358" s="1"/>
  <c r="AH37" i="358" a="1"/>
  <c r="AH37" i="358" s="1"/>
  <c r="A37" i="358"/>
  <c r="AQ36" i="358"/>
  <c r="AI36" i="358" a="1"/>
  <c r="AI36" i="358" s="1"/>
  <c r="AH36" i="358" a="1"/>
  <c r="AH36" i="358" s="1"/>
  <c r="A36" i="358"/>
  <c r="AQ35" i="358"/>
  <c r="AI35" i="358" a="1"/>
  <c r="AI35" i="358" s="1"/>
  <c r="AH35" i="358" a="1"/>
  <c r="AH35" i="358" s="1"/>
  <c r="A35" i="358"/>
  <c r="AQ34" i="358"/>
  <c r="AI34" i="358" a="1"/>
  <c r="AI34" i="358" s="1"/>
  <c r="AH34" i="358" a="1"/>
  <c r="AH34" i="358" s="1"/>
  <c r="A34" i="358"/>
  <c r="AQ33" i="358"/>
  <c r="AI33" i="358" a="1"/>
  <c r="AI33" i="358" s="1"/>
  <c r="AH33" i="358" a="1"/>
  <c r="AH33" i="358" s="1"/>
  <c r="A33" i="358"/>
  <c r="AQ32" i="358"/>
  <c r="AI32" i="358" a="1"/>
  <c r="AI32" i="358" s="1"/>
  <c r="AH32" i="358" a="1"/>
  <c r="AH32" i="358" s="1"/>
  <c r="A32" i="358"/>
  <c r="AQ31" i="358"/>
  <c r="AI31" i="358" a="1"/>
  <c r="AI31" i="358" s="1"/>
  <c r="AH31" i="358" a="1"/>
  <c r="AH31" i="358" s="1"/>
  <c r="A31" i="358"/>
  <c r="AQ30" i="358"/>
  <c r="AI30" i="358" a="1"/>
  <c r="AI30" i="358" s="1"/>
  <c r="AH30" i="358" a="1"/>
  <c r="AH30" i="358" s="1"/>
  <c r="A30" i="358"/>
  <c r="AQ29" i="358"/>
  <c r="AI29" i="358" a="1"/>
  <c r="AI29" i="358" s="1"/>
  <c r="AH29" i="358" a="1"/>
  <c r="AH29" i="358" s="1"/>
  <c r="A29" i="358"/>
  <c r="AQ28" i="358"/>
  <c r="AI28" i="358" a="1"/>
  <c r="AI28" i="358" s="1"/>
  <c r="AH28" i="358" a="1"/>
  <c r="AH28" i="358" s="1"/>
  <c r="A28" i="358"/>
  <c r="AQ27" i="358"/>
  <c r="AI27" i="358" a="1"/>
  <c r="AI27" i="358" s="1"/>
  <c r="AH27" i="358" a="1"/>
  <c r="AH27" i="358" s="1"/>
  <c r="A27" i="358"/>
  <c r="AQ26" i="358"/>
  <c r="AI26" i="358" a="1"/>
  <c r="AI26" i="358" s="1"/>
  <c r="AH26" i="358" a="1"/>
  <c r="AH26" i="358" s="1"/>
  <c r="A26" i="358"/>
  <c r="AQ25" i="358"/>
  <c r="AI25" i="358" a="1"/>
  <c r="AI25" i="358" s="1"/>
  <c r="AH25" i="358" a="1"/>
  <c r="AH25" i="358" s="1"/>
  <c r="A25" i="358"/>
  <c r="AQ24" i="358"/>
  <c r="AI24" i="358" a="1"/>
  <c r="AI24" i="358" s="1"/>
  <c r="AH24" i="358" a="1"/>
  <c r="AH24" i="358" s="1"/>
  <c r="A24" i="358"/>
  <c r="AQ23" i="358"/>
  <c r="AI23" i="358" a="1"/>
  <c r="AI23" i="358" s="1"/>
  <c r="AH23" i="358" a="1"/>
  <c r="AH23" i="358" s="1"/>
  <c r="A23" i="358"/>
  <c r="AQ22" i="358"/>
  <c r="AI22" i="358" a="1"/>
  <c r="AI22" i="358" s="1"/>
  <c r="AH22" i="358" a="1"/>
  <c r="AH22" i="358" s="1"/>
  <c r="A22" i="358"/>
  <c r="AQ21" i="358"/>
  <c r="AI21" i="358" a="1"/>
  <c r="AI21" i="358" s="1"/>
  <c r="AH21" i="358" a="1"/>
  <c r="AH21" i="358" s="1"/>
  <c r="A21" i="358"/>
  <c r="AQ20" i="358"/>
  <c r="AI20" i="358" a="1"/>
  <c r="AI20" i="358" s="1"/>
  <c r="AH20" i="358" a="1"/>
  <c r="AH20" i="358" s="1"/>
  <c r="A20" i="358"/>
  <c r="AQ19" i="358"/>
  <c r="AI19" i="358" a="1"/>
  <c r="AI19" i="358" s="1"/>
  <c r="AH19" i="358" a="1"/>
  <c r="AH19" i="358" s="1"/>
  <c r="A19" i="358"/>
  <c r="AQ18" i="358"/>
  <c r="AI18" i="358" a="1"/>
  <c r="AI18" i="358" s="1"/>
  <c r="AH18" i="358" a="1"/>
  <c r="AH18" i="358" s="1"/>
  <c r="A18" i="358"/>
  <c r="AQ17" i="358"/>
  <c r="AI17" i="358" a="1"/>
  <c r="AI17" i="358" s="1"/>
  <c r="AH17" i="358" a="1"/>
  <c r="AH17" i="358" s="1"/>
  <c r="A17" i="358"/>
  <c r="AQ16" i="358"/>
  <c r="AI16" i="358" a="1"/>
  <c r="AI16" i="358" s="1"/>
  <c r="AH16" i="358" a="1"/>
  <c r="AH16" i="358" s="1"/>
  <c r="A16" i="358"/>
  <c r="AQ15" i="358"/>
  <c r="AI15" i="358" a="1"/>
  <c r="AI15" i="358" s="1"/>
  <c r="AH15" i="358" a="1"/>
  <c r="AH15" i="358" s="1"/>
  <c r="A15" i="358"/>
  <c r="AQ14" i="358"/>
  <c r="AI14" i="358" a="1"/>
  <c r="AI14" i="358" s="1"/>
  <c r="AH14" i="358" a="1"/>
  <c r="AH14" i="358" s="1"/>
  <c r="A14" i="358"/>
  <c r="AQ13" i="358"/>
  <c r="AI13" i="358" a="1"/>
  <c r="AI13" i="358" s="1"/>
  <c r="AH13" i="358" a="1"/>
  <c r="AH13" i="358" s="1"/>
  <c r="A13" i="358"/>
  <c r="AQ12" i="358"/>
  <c r="AI12" i="358" a="1"/>
  <c r="AI12" i="358" s="1"/>
  <c r="AH12" i="358" a="1"/>
  <c r="AH12" i="358" s="1"/>
  <c r="A12" i="358"/>
  <c r="AQ11" i="358"/>
  <c r="AI11" i="358" a="1"/>
  <c r="AI11" i="358" s="1"/>
  <c r="AH11" i="358" a="1"/>
  <c r="AH11" i="358" s="1"/>
  <c r="A11" i="358"/>
  <c r="AQ10" i="358"/>
  <c r="AI10" i="358" a="1"/>
  <c r="AI10" i="358" s="1"/>
  <c r="AH10" i="358" a="1"/>
  <c r="AH10" i="358" s="1"/>
  <c r="A10" i="358"/>
  <c r="L6" i="358"/>
  <c r="C4" i="358"/>
  <c r="L3" i="358"/>
  <c r="Z7" i="358" s="1"/>
  <c r="Z78" i="358" s="1"/>
  <c r="M1" i="358"/>
  <c r="AG88" i="357"/>
  <c r="AF88" i="357"/>
  <c r="AE88" i="357"/>
  <c r="AD88" i="357"/>
  <c r="AC88" i="357"/>
  <c r="AB88" i="357"/>
  <c r="AA88" i="357"/>
  <c r="Z88" i="357"/>
  <c r="Y88" i="357"/>
  <c r="X88" i="357"/>
  <c r="W88" i="357"/>
  <c r="V88" i="357"/>
  <c r="U88" i="357"/>
  <c r="T88" i="357"/>
  <c r="S88" i="357"/>
  <c r="R88" i="357"/>
  <c r="Q88" i="357"/>
  <c r="P88" i="357"/>
  <c r="O88" i="357"/>
  <c r="N88" i="357"/>
  <c r="M88" i="357"/>
  <c r="L88" i="357"/>
  <c r="K88" i="357"/>
  <c r="J88" i="357"/>
  <c r="I88" i="357"/>
  <c r="H88" i="357"/>
  <c r="G88" i="357"/>
  <c r="F88" i="357"/>
  <c r="E88" i="357"/>
  <c r="D88" i="357"/>
  <c r="C88" i="357"/>
  <c r="B88" i="357"/>
  <c r="AG87" i="357"/>
  <c r="AF87" i="357"/>
  <c r="AE87" i="357"/>
  <c r="AD87" i="357"/>
  <c r="AC87" i="357"/>
  <c r="AB87" i="357"/>
  <c r="AA87" i="357"/>
  <c r="Z87" i="357"/>
  <c r="Y87" i="357"/>
  <c r="X87" i="357"/>
  <c r="W87" i="357"/>
  <c r="V87" i="357"/>
  <c r="U87" i="357"/>
  <c r="T87" i="357"/>
  <c r="S87" i="357"/>
  <c r="R87" i="357"/>
  <c r="Q87" i="357"/>
  <c r="P87" i="357"/>
  <c r="O87" i="357"/>
  <c r="N87" i="357"/>
  <c r="M87" i="357"/>
  <c r="L87" i="357"/>
  <c r="K87" i="357"/>
  <c r="J87" i="357"/>
  <c r="I87" i="357"/>
  <c r="H87" i="357"/>
  <c r="G87" i="357"/>
  <c r="F87" i="357"/>
  <c r="E87" i="357"/>
  <c r="D87" i="357"/>
  <c r="C87" i="357"/>
  <c r="B87" i="357"/>
  <c r="AG86" i="357"/>
  <c r="AF86" i="357"/>
  <c r="AE86" i="357"/>
  <c r="AD86" i="357"/>
  <c r="AC86" i="357"/>
  <c r="AB86" i="357"/>
  <c r="AA86" i="357"/>
  <c r="Z86" i="357"/>
  <c r="Y86" i="357"/>
  <c r="X86" i="357"/>
  <c r="W86" i="357"/>
  <c r="V86" i="357"/>
  <c r="U86" i="357"/>
  <c r="T86" i="357"/>
  <c r="S86" i="357"/>
  <c r="R86" i="357"/>
  <c r="Q86" i="357"/>
  <c r="P86" i="357"/>
  <c r="O86" i="357"/>
  <c r="N86" i="357"/>
  <c r="M86" i="357"/>
  <c r="L86" i="357"/>
  <c r="K86" i="357"/>
  <c r="J86" i="357"/>
  <c r="I86" i="357"/>
  <c r="H86" i="357"/>
  <c r="G86" i="357"/>
  <c r="F86" i="357"/>
  <c r="E86" i="357"/>
  <c r="D86" i="357"/>
  <c r="C86" i="357"/>
  <c r="B86" i="357"/>
  <c r="AG85" i="357"/>
  <c r="AF85" i="357"/>
  <c r="AE85" i="357"/>
  <c r="AD85" i="357"/>
  <c r="AC85" i="357"/>
  <c r="AB85" i="357"/>
  <c r="AA85" i="357"/>
  <c r="Z85" i="357"/>
  <c r="Y85" i="357"/>
  <c r="X85" i="357"/>
  <c r="W85" i="357"/>
  <c r="V85" i="357"/>
  <c r="U85" i="357"/>
  <c r="T85" i="357"/>
  <c r="S85" i="357"/>
  <c r="R85" i="357"/>
  <c r="Q85" i="357"/>
  <c r="P85" i="357"/>
  <c r="O85" i="357"/>
  <c r="N85" i="357"/>
  <c r="M85" i="357"/>
  <c r="L85" i="357"/>
  <c r="K85" i="357"/>
  <c r="J85" i="357"/>
  <c r="I85" i="357"/>
  <c r="H85" i="357"/>
  <c r="G85" i="357"/>
  <c r="F85" i="357"/>
  <c r="E85" i="357"/>
  <c r="D85" i="357"/>
  <c r="C85" i="357"/>
  <c r="B85" i="357"/>
  <c r="AG84" i="357"/>
  <c r="AF84" i="357"/>
  <c r="AE84" i="357"/>
  <c r="AD84" i="357"/>
  <c r="AC84" i="357"/>
  <c r="AB84" i="357"/>
  <c r="AA84" i="357"/>
  <c r="Z84" i="357"/>
  <c r="Y84" i="357"/>
  <c r="X84" i="357"/>
  <c r="W84" i="357"/>
  <c r="V84" i="357"/>
  <c r="U84" i="357"/>
  <c r="T84" i="357"/>
  <c r="S84" i="357"/>
  <c r="R84" i="357"/>
  <c r="Q84" i="357"/>
  <c r="P84" i="357"/>
  <c r="O84" i="357"/>
  <c r="N84" i="357"/>
  <c r="M84" i="357"/>
  <c r="L84" i="357"/>
  <c r="K84" i="357"/>
  <c r="J84" i="357"/>
  <c r="I84" i="357"/>
  <c r="H84" i="357"/>
  <c r="G84" i="357"/>
  <c r="F84" i="357"/>
  <c r="E84" i="357"/>
  <c r="D84" i="357"/>
  <c r="C84" i="357"/>
  <c r="B84" i="357"/>
  <c r="AG83" i="357"/>
  <c r="AF83" i="357"/>
  <c r="AE83" i="357"/>
  <c r="AD83" i="357"/>
  <c r="AC83" i="357"/>
  <c r="AB83" i="357"/>
  <c r="AA83" i="357"/>
  <c r="Z83" i="357"/>
  <c r="Y83" i="357"/>
  <c r="X83" i="357"/>
  <c r="W83" i="357"/>
  <c r="V83" i="357"/>
  <c r="U83" i="357"/>
  <c r="T83" i="357"/>
  <c r="S83" i="357"/>
  <c r="R83" i="357"/>
  <c r="Q83" i="357"/>
  <c r="P83" i="357"/>
  <c r="O83" i="357"/>
  <c r="N83" i="357"/>
  <c r="M83" i="357"/>
  <c r="L83" i="357"/>
  <c r="K83" i="357"/>
  <c r="J83" i="357"/>
  <c r="I83" i="357"/>
  <c r="H83" i="357"/>
  <c r="G83" i="357"/>
  <c r="F83" i="357"/>
  <c r="E83" i="357"/>
  <c r="D83" i="357"/>
  <c r="C83" i="357"/>
  <c r="B83" i="357"/>
  <c r="AG82" i="357"/>
  <c r="AF82" i="357"/>
  <c r="AE82" i="357"/>
  <c r="AD82" i="357"/>
  <c r="AC82" i="357"/>
  <c r="AB82" i="357"/>
  <c r="AA82" i="357"/>
  <c r="Z82" i="357"/>
  <c r="Y82" i="357"/>
  <c r="X82" i="357"/>
  <c r="W82" i="357"/>
  <c r="V82" i="357"/>
  <c r="U82" i="357"/>
  <c r="T82" i="357"/>
  <c r="S82" i="357"/>
  <c r="R82" i="357"/>
  <c r="Q82" i="357"/>
  <c r="P82" i="357"/>
  <c r="O82" i="357"/>
  <c r="N82" i="357"/>
  <c r="M82" i="357"/>
  <c r="L82" i="357"/>
  <c r="K82" i="357"/>
  <c r="J82" i="357"/>
  <c r="I82" i="357"/>
  <c r="H82" i="357"/>
  <c r="G82" i="357"/>
  <c r="F82" i="357"/>
  <c r="E82" i="357"/>
  <c r="D82" i="357"/>
  <c r="C82" i="357"/>
  <c r="B82" i="357"/>
  <c r="AG81" i="357"/>
  <c r="AF81" i="357"/>
  <c r="AE81" i="357"/>
  <c r="AD81" i="357"/>
  <c r="AC81" i="357"/>
  <c r="AB81" i="357"/>
  <c r="AA81" i="357"/>
  <c r="Z81" i="357"/>
  <c r="Y81" i="357"/>
  <c r="X81" i="357"/>
  <c r="W81" i="357"/>
  <c r="V81" i="357"/>
  <c r="U81" i="357"/>
  <c r="T81" i="357"/>
  <c r="S81" i="357"/>
  <c r="R81" i="357"/>
  <c r="Q81" i="357"/>
  <c r="P81" i="357"/>
  <c r="O81" i="357"/>
  <c r="N81" i="357"/>
  <c r="M81" i="357"/>
  <c r="L81" i="357"/>
  <c r="K81" i="357"/>
  <c r="J81" i="357"/>
  <c r="I81" i="357"/>
  <c r="H81" i="357"/>
  <c r="G81" i="357"/>
  <c r="F81" i="357"/>
  <c r="E81" i="357"/>
  <c r="D81" i="357"/>
  <c r="C81" i="357"/>
  <c r="B81" i="357"/>
  <c r="AG80" i="357"/>
  <c r="AF80" i="357"/>
  <c r="AE80" i="357"/>
  <c r="AD80" i="357"/>
  <c r="AC80" i="357"/>
  <c r="AB80" i="357"/>
  <c r="AA80" i="357"/>
  <c r="Z80" i="357"/>
  <c r="Y80" i="357"/>
  <c r="X80" i="357"/>
  <c r="W80" i="357"/>
  <c r="V80" i="357"/>
  <c r="U80" i="357"/>
  <c r="T80" i="357"/>
  <c r="S80" i="357"/>
  <c r="R80" i="357"/>
  <c r="Q80" i="357"/>
  <c r="P80" i="357"/>
  <c r="O80" i="357"/>
  <c r="N80" i="357"/>
  <c r="M80" i="357"/>
  <c r="L80" i="357"/>
  <c r="K80" i="357"/>
  <c r="J80" i="357"/>
  <c r="I80" i="357"/>
  <c r="H80" i="357"/>
  <c r="G80" i="357"/>
  <c r="F80" i="357"/>
  <c r="E80" i="357"/>
  <c r="D80" i="357"/>
  <c r="C80" i="357"/>
  <c r="B80" i="357"/>
  <c r="AG79" i="357"/>
  <c r="AF79" i="357"/>
  <c r="AE79" i="357"/>
  <c r="AD79" i="357"/>
  <c r="AC79" i="357"/>
  <c r="AB79" i="357"/>
  <c r="AA79" i="357"/>
  <c r="Z79" i="357"/>
  <c r="Y79" i="357"/>
  <c r="X79" i="357"/>
  <c r="W79" i="357"/>
  <c r="V79" i="357"/>
  <c r="U79" i="357"/>
  <c r="T79" i="357"/>
  <c r="S79" i="357"/>
  <c r="R79" i="357"/>
  <c r="Q79" i="357"/>
  <c r="P79" i="357"/>
  <c r="O79" i="357"/>
  <c r="N79" i="357"/>
  <c r="M79" i="357"/>
  <c r="L79" i="357"/>
  <c r="K79" i="357"/>
  <c r="J79" i="357"/>
  <c r="I79" i="357"/>
  <c r="H79" i="357"/>
  <c r="G79" i="357"/>
  <c r="F79" i="357"/>
  <c r="E79" i="357"/>
  <c r="D79" i="357"/>
  <c r="C79" i="357"/>
  <c r="B79" i="357"/>
  <c r="AB58" i="357"/>
  <c r="AN50" i="357"/>
  <c r="AQ49" i="357"/>
  <c r="AI49" i="357" a="1"/>
  <c r="AI49" i="357" s="1"/>
  <c r="AH49" i="357" a="1"/>
  <c r="AH49" i="357" s="1"/>
  <c r="A49" i="357"/>
  <c r="AQ48" i="357"/>
  <c r="AI48" i="357" a="1"/>
  <c r="AI48" i="357" s="1"/>
  <c r="AH48" i="357" a="1"/>
  <c r="AH48" i="357" s="1"/>
  <c r="A48" i="357"/>
  <c r="AQ47" i="357"/>
  <c r="AI47" i="357" a="1"/>
  <c r="AI47" i="357" s="1"/>
  <c r="AH47" i="357" a="1"/>
  <c r="AH47" i="357" s="1"/>
  <c r="A47" i="357"/>
  <c r="AQ46" i="357"/>
  <c r="AI46" i="357" a="1"/>
  <c r="AI46" i="357" s="1"/>
  <c r="AH46" i="357" a="1"/>
  <c r="AH46" i="357" s="1"/>
  <c r="A46" i="357"/>
  <c r="AQ45" i="357"/>
  <c r="AI45" i="357" a="1"/>
  <c r="AI45" i="357" s="1"/>
  <c r="AH45" i="357" a="1"/>
  <c r="AH45" i="357" s="1"/>
  <c r="A45" i="357"/>
  <c r="AQ44" i="357"/>
  <c r="AI44" i="357" a="1"/>
  <c r="AI44" i="357" s="1"/>
  <c r="AH44" i="357" a="1"/>
  <c r="AH44" i="357" s="1"/>
  <c r="A44" i="357"/>
  <c r="AQ43" i="357"/>
  <c r="AI43" i="357" a="1"/>
  <c r="AI43" i="357" s="1"/>
  <c r="AH43" i="357" a="1"/>
  <c r="AH43" i="357" s="1"/>
  <c r="A43" i="357"/>
  <c r="AQ42" i="357"/>
  <c r="AI42" i="357" a="1"/>
  <c r="AI42" i="357" s="1"/>
  <c r="AH42" i="357" a="1"/>
  <c r="AH42" i="357" s="1"/>
  <c r="A42" i="357"/>
  <c r="AQ41" i="357"/>
  <c r="AI41" i="357" a="1"/>
  <c r="AI41" i="357" s="1"/>
  <c r="AH41" i="357" a="1"/>
  <c r="AH41" i="357" s="1"/>
  <c r="A41" i="357"/>
  <c r="AQ40" i="357"/>
  <c r="AI40" i="357" a="1"/>
  <c r="AI40" i="357" s="1"/>
  <c r="AH40" i="357" a="1"/>
  <c r="AH40" i="357" s="1"/>
  <c r="A40" i="357"/>
  <c r="AQ39" i="357"/>
  <c r="AI39" i="357" a="1"/>
  <c r="AI39" i="357" s="1"/>
  <c r="AH39" i="357" a="1"/>
  <c r="AH39" i="357" s="1"/>
  <c r="A39" i="357"/>
  <c r="AQ38" i="357"/>
  <c r="AI38" i="357" a="1"/>
  <c r="AI38" i="357" s="1"/>
  <c r="AH38" i="357" a="1"/>
  <c r="AH38" i="357" s="1"/>
  <c r="A38" i="357"/>
  <c r="AQ37" i="357"/>
  <c r="AI37" i="357" a="1"/>
  <c r="AI37" i="357" s="1"/>
  <c r="AH37" i="357" a="1"/>
  <c r="AH37" i="357" s="1"/>
  <c r="A37" i="357"/>
  <c r="AQ36" i="357"/>
  <c r="AI36" i="357" a="1"/>
  <c r="AI36" i="357" s="1"/>
  <c r="AH36" i="357" a="1"/>
  <c r="AH36" i="357" s="1"/>
  <c r="A36" i="357"/>
  <c r="AQ35" i="357"/>
  <c r="AI35" i="357" a="1"/>
  <c r="AI35" i="357" s="1"/>
  <c r="AH35" i="357" a="1"/>
  <c r="AH35" i="357" s="1"/>
  <c r="A35" i="357"/>
  <c r="AQ34" i="357"/>
  <c r="AI34" i="357" a="1"/>
  <c r="AI34" i="357" s="1"/>
  <c r="AH34" i="357" a="1"/>
  <c r="AH34" i="357" s="1"/>
  <c r="A34" i="357"/>
  <c r="AQ33" i="357"/>
  <c r="AI33" i="357" a="1"/>
  <c r="AI33" i="357" s="1"/>
  <c r="AH33" i="357" a="1"/>
  <c r="AH33" i="357" s="1"/>
  <c r="A33" i="357"/>
  <c r="AQ32" i="357"/>
  <c r="AI32" i="357" a="1"/>
  <c r="AI32" i="357" s="1"/>
  <c r="AH32" i="357" a="1"/>
  <c r="AH32" i="357" s="1"/>
  <c r="A32" i="357"/>
  <c r="AQ31" i="357"/>
  <c r="AI31" i="357" a="1"/>
  <c r="AI31" i="357" s="1"/>
  <c r="AH31" i="357" a="1"/>
  <c r="AH31" i="357" s="1"/>
  <c r="A31" i="357"/>
  <c r="AQ30" i="357"/>
  <c r="AI30" i="357" a="1"/>
  <c r="AI30" i="357" s="1"/>
  <c r="AH30" i="357" a="1"/>
  <c r="AH30" i="357" s="1"/>
  <c r="A30" i="357"/>
  <c r="AQ29" i="357"/>
  <c r="AI29" i="357" a="1"/>
  <c r="AI29" i="357" s="1"/>
  <c r="AH29" i="357" a="1"/>
  <c r="AH29" i="357" s="1"/>
  <c r="A29" i="357"/>
  <c r="AQ28" i="357"/>
  <c r="AI28" i="357" a="1"/>
  <c r="AI28" i="357" s="1"/>
  <c r="AH28" i="357" a="1"/>
  <c r="AH28" i="357" s="1"/>
  <c r="A28" i="357"/>
  <c r="AQ27" i="357"/>
  <c r="AI27" i="357" a="1"/>
  <c r="AI27" i="357" s="1"/>
  <c r="AH27" i="357" a="1"/>
  <c r="AH27" i="357" s="1"/>
  <c r="A27" i="357"/>
  <c r="AQ26" i="357"/>
  <c r="AI26" i="357" a="1"/>
  <c r="AI26" i="357" s="1"/>
  <c r="AH26" i="357" a="1"/>
  <c r="AH26" i="357" s="1"/>
  <c r="A26" i="357"/>
  <c r="AQ25" i="357"/>
  <c r="AI25" i="357" a="1"/>
  <c r="AI25" i="357" s="1"/>
  <c r="AH25" i="357" a="1"/>
  <c r="AH25" i="357" s="1"/>
  <c r="A25" i="357"/>
  <c r="AQ24" i="357"/>
  <c r="AI24" i="357" a="1"/>
  <c r="AI24" i="357" s="1"/>
  <c r="AH24" i="357" a="1"/>
  <c r="AH24" i="357" s="1"/>
  <c r="A24" i="357"/>
  <c r="AQ23" i="357"/>
  <c r="AI23" i="357" a="1"/>
  <c r="AI23" i="357" s="1"/>
  <c r="AH23" i="357" a="1"/>
  <c r="AH23" i="357" s="1"/>
  <c r="A23" i="357"/>
  <c r="AQ22" i="357"/>
  <c r="AI22" i="357" a="1"/>
  <c r="AI22" i="357" s="1"/>
  <c r="AH22" i="357" a="1"/>
  <c r="AH22" i="357" s="1"/>
  <c r="A22" i="357"/>
  <c r="AQ21" i="357"/>
  <c r="AI21" i="357" a="1"/>
  <c r="AI21" i="357" s="1"/>
  <c r="AH21" i="357" a="1"/>
  <c r="AH21" i="357" s="1"/>
  <c r="A21" i="357"/>
  <c r="AQ20" i="357"/>
  <c r="AI20" i="357" a="1"/>
  <c r="AI20" i="357" s="1"/>
  <c r="AH20" i="357" a="1"/>
  <c r="AH20" i="357" s="1"/>
  <c r="A20" i="357"/>
  <c r="AQ19" i="357"/>
  <c r="AI19" i="357" a="1"/>
  <c r="AI19" i="357" s="1"/>
  <c r="AH19" i="357" a="1"/>
  <c r="AH19" i="357" s="1"/>
  <c r="A19" i="357"/>
  <c r="AQ18" i="357"/>
  <c r="AI18" i="357" a="1"/>
  <c r="AI18" i="357" s="1"/>
  <c r="AH18" i="357" a="1"/>
  <c r="AH18" i="357" s="1"/>
  <c r="A18" i="357"/>
  <c r="AQ17" i="357"/>
  <c r="AI17" i="357" a="1"/>
  <c r="AI17" i="357" s="1"/>
  <c r="AH17" i="357" a="1"/>
  <c r="AH17" i="357" s="1"/>
  <c r="A17" i="357"/>
  <c r="AQ16" i="357"/>
  <c r="AI16" i="357" a="1"/>
  <c r="AI16" i="357" s="1"/>
  <c r="AH16" i="357" a="1"/>
  <c r="AH16" i="357" s="1"/>
  <c r="A16" i="357"/>
  <c r="AQ15" i="357"/>
  <c r="AI15" i="357" a="1"/>
  <c r="AI15" i="357" s="1"/>
  <c r="AH15" i="357" a="1"/>
  <c r="AH15" i="357" s="1"/>
  <c r="A15" i="357"/>
  <c r="AQ14" i="357"/>
  <c r="AI14" i="357" a="1"/>
  <c r="AI14" i="357" s="1"/>
  <c r="AH14" i="357" a="1"/>
  <c r="AH14" i="357" s="1"/>
  <c r="A14" i="357"/>
  <c r="AQ13" i="357"/>
  <c r="AI13" i="357" a="1"/>
  <c r="AI13" i="357" s="1"/>
  <c r="AH13" i="357" a="1"/>
  <c r="AH13" i="357" s="1"/>
  <c r="A13" i="357"/>
  <c r="AQ12" i="357"/>
  <c r="AI12" i="357" a="1"/>
  <c r="AI12" i="357" s="1"/>
  <c r="AH12" i="357" a="1"/>
  <c r="AH12" i="357" s="1"/>
  <c r="A12" i="357"/>
  <c r="AQ11" i="357"/>
  <c r="AI11" i="357" a="1"/>
  <c r="AI11" i="357" s="1"/>
  <c r="AH11" i="357" a="1"/>
  <c r="AH11" i="357" s="1"/>
  <c r="A11" i="357"/>
  <c r="AQ10" i="357"/>
  <c r="AI10" i="357" a="1"/>
  <c r="AI10" i="357" s="1"/>
  <c r="AH10" i="357" a="1"/>
  <c r="AH10" i="357" s="1"/>
  <c r="A10" i="357"/>
  <c r="C4" i="357"/>
  <c r="L3" i="357"/>
  <c r="AD7" i="357" s="1"/>
  <c r="AD78" i="357" s="1"/>
  <c r="M1" i="357"/>
  <c r="AG88" i="356"/>
  <c r="AF88" i="356"/>
  <c r="AE88" i="356"/>
  <c r="AD88" i="356"/>
  <c r="AC88" i="356"/>
  <c r="AB88" i="356"/>
  <c r="AA88" i="356"/>
  <c r="Z88" i="356"/>
  <c r="Y88" i="356"/>
  <c r="X88" i="356"/>
  <c r="W88" i="356"/>
  <c r="V88" i="356"/>
  <c r="U88" i="356"/>
  <c r="T88" i="356"/>
  <c r="S88" i="356"/>
  <c r="R88" i="356"/>
  <c r="Q88" i="356"/>
  <c r="P88" i="356"/>
  <c r="O88" i="356"/>
  <c r="N88" i="356"/>
  <c r="M88" i="356"/>
  <c r="L88" i="356"/>
  <c r="K88" i="356"/>
  <c r="J88" i="356"/>
  <c r="I88" i="356"/>
  <c r="H88" i="356"/>
  <c r="G88" i="356"/>
  <c r="F88" i="356"/>
  <c r="E88" i="356"/>
  <c r="D88" i="356"/>
  <c r="C88" i="356"/>
  <c r="B88" i="356"/>
  <c r="AG87" i="356"/>
  <c r="AF87" i="356"/>
  <c r="AE87" i="356"/>
  <c r="AD87" i="356"/>
  <c r="AC87" i="356"/>
  <c r="AB87" i="356"/>
  <c r="AA87" i="356"/>
  <c r="Z87" i="356"/>
  <c r="Y87" i="356"/>
  <c r="X87" i="356"/>
  <c r="W87" i="356"/>
  <c r="V87" i="356"/>
  <c r="U87" i="356"/>
  <c r="T87" i="356"/>
  <c r="S87" i="356"/>
  <c r="R87" i="356"/>
  <c r="Q87" i="356"/>
  <c r="P87" i="356"/>
  <c r="O87" i="356"/>
  <c r="N87" i="356"/>
  <c r="M87" i="356"/>
  <c r="L87" i="356"/>
  <c r="K87" i="356"/>
  <c r="J87" i="356"/>
  <c r="I87" i="356"/>
  <c r="H87" i="356"/>
  <c r="G87" i="356"/>
  <c r="F87" i="356"/>
  <c r="E87" i="356"/>
  <c r="D87" i="356"/>
  <c r="C87" i="356"/>
  <c r="B87" i="356"/>
  <c r="AG86" i="356"/>
  <c r="AF86" i="356"/>
  <c r="AE86" i="356"/>
  <c r="AD86" i="356"/>
  <c r="AC86" i="356"/>
  <c r="AB86" i="356"/>
  <c r="AA86" i="356"/>
  <c r="Z86" i="356"/>
  <c r="Y86" i="356"/>
  <c r="X86" i="356"/>
  <c r="W86" i="356"/>
  <c r="V86" i="356"/>
  <c r="U86" i="356"/>
  <c r="T86" i="356"/>
  <c r="S86" i="356"/>
  <c r="R86" i="356"/>
  <c r="Q86" i="356"/>
  <c r="P86" i="356"/>
  <c r="O86" i="356"/>
  <c r="N86" i="356"/>
  <c r="M86" i="356"/>
  <c r="L86" i="356"/>
  <c r="K86" i="356"/>
  <c r="J86" i="356"/>
  <c r="I86" i="356"/>
  <c r="H86" i="356"/>
  <c r="G86" i="356"/>
  <c r="F86" i="356"/>
  <c r="E86" i="356"/>
  <c r="D86" i="356"/>
  <c r="C86" i="356"/>
  <c r="B86" i="356"/>
  <c r="AG85" i="356"/>
  <c r="AF85" i="356"/>
  <c r="AE85" i="356"/>
  <c r="AD85" i="356"/>
  <c r="AC85" i="356"/>
  <c r="AB85" i="356"/>
  <c r="AA85" i="356"/>
  <c r="Z85" i="356"/>
  <c r="Y85" i="356"/>
  <c r="X85" i="356"/>
  <c r="W85" i="356"/>
  <c r="V85" i="356"/>
  <c r="U85" i="356"/>
  <c r="T85" i="356"/>
  <c r="S85" i="356"/>
  <c r="R85" i="356"/>
  <c r="Q85" i="356"/>
  <c r="P85" i="356"/>
  <c r="O85" i="356"/>
  <c r="N85" i="356"/>
  <c r="M85" i="356"/>
  <c r="L85" i="356"/>
  <c r="K85" i="356"/>
  <c r="J85" i="356"/>
  <c r="I85" i="356"/>
  <c r="H85" i="356"/>
  <c r="G85" i="356"/>
  <c r="F85" i="356"/>
  <c r="E85" i="356"/>
  <c r="D85" i="356"/>
  <c r="C85" i="356"/>
  <c r="B85" i="356"/>
  <c r="AG84" i="356"/>
  <c r="AF84" i="356"/>
  <c r="AE84" i="356"/>
  <c r="AD84" i="356"/>
  <c r="AC84" i="356"/>
  <c r="AB84" i="356"/>
  <c r="AA84" i="356"/>
  <c r="Z84" i="356"/>
  <c r="Y84" i="356"/>
  <c r="X84" i="356"/>
  <c r="W84" i="356"/>
  <c r="V84" i="356"/>
  <c r="U84" i="356"/>
  <c r="T84" i="356"/>
  <c r="S84" i="356"/>
  <c r="R84" i="356"/>
  <c r="Q84" i="356"/>
  <c r="P84" i="356"/>
  <c r="O84" i="356"/>
  <c r="N84" i="356"/>
  <c r="M84" i="356"/>
  <c r="L84" i="356"/>
  <c r="K84" i="356"/>
  <c r="J84" i="356"/>
  <c r="I84" i="356"/>
  <c r="H84" i="356"/>
  <c r="G84" i="356"/>
  <c r="F84" i="356"/>
  <c r="E84" i="356"/>
  <c r="D84" i="356"/>
  <c r="C84" i="356"/>
  <c r="B84" i="356"/>
  <c r="AG83" i="356"/>
  <c r="AF83" i="356"/>
  <c r="AE83" i="356"/>
  <c r="AD83" i="356"/>
  <c r="AC83" i="356"/>
  <c r="AB83" i="356"/>
  <c r="AA83" i="356"/>
  <c r="Z83" i="356"/>
  <c r="Y83" i="356"/>
  <c r="X83" i="356"/>
  <c r="W83" i="356"/>
  <c r="V83" i="356"/>
  <c r="U83" i="356"/>
  <c r="T83" i="356"/>
  <c r="S83" i="356"/>
  <c r="R83" i="356"/>
  <c r="Q83" i="356"/>
  <c r="P83" i="356"/>
  <c r="O83" i="356"/>
  <c r="N83" i="356"/>
  <c r="M83" i="356"/>
  <c r="L83" i="356"/>
  <c r="K83" i="356"/>
  <c r="J83" i="356"/>
  <c r="I83" i="356"/>
  <c r="H83" i="356"/>
  <c r="G83" i="356"/>
  <c r="F83" i="356"/>
  <c r="E83" i="356"/>
  <c r="D83" i="356"/>
  <c r="C83" i="356"/>
  <c r="B83" i="356"/>
  <c r="AG82" i="356"/>
  <c r="AF82" i="356"/>
  <c r="AE82" i="356"/>
  <c r="AD82" i="356"/>
  <c r="AC82" i="356"/>
  <c r="AB82" i="356"/>
  <c r="AA82" i="356"/>
  <c r="Z82" i="356"/>
  <c r="Y82" i="356"/>
  <c r="X82" i="356"/>
  <c r="W82" i="356"/>
  <c r="V82" i="356"/>
  <c r="U82" i="356"/>
  <c r="T82" i="356"/>
  <c r="S82" i="356"/>
  <c r="R82" i="356"/>
  <c r="Q82" i="356"/>
  <c r="P82" i="356"/>
  <c r="O82" i="356"/>
  <c r="N82" i="356"/>
  <c r="M82" i="356"/>
  <c r="L82" i="356"/>
  <c r="K82" i="356"/>
  <c r="J82" i="356"/>
  <c r="I82" i="356"/>
  <c r="H82" i="356"/>
  <c r="G82" i="356"/>
  <c r="F82" i="356"/>
  <c r="E82" i="356"/>
  <c r="D82" i="356"/>
  <c r="C82" i="356"/>
  <c r="B82" i="356"/>
  <c r="AG81" i="356"/>
  <c r="AF81" i="356"/>
  <c r="AE81" i="356"/>
  <c r="AD81" i="356"/>
  <c r="AC81" i="356"/>
  <c r="AB81" i="356"/>
  <c r="AA81" i="356"/>
  <c r="Z81" i="356"/>
  <c r="Y81" i="356"/>
  <c r="X81" i="356"/>
  <c r="W81" i="356"/>
  <c r="V81" i="356"/>
  <c r="U81" i="356"/>
  <c r="T81" i="356"/>
  <c r="S81" i="356"/>
  <c r="R81" i="356"/>
  <c r="Q81" i="356"/>
  <c r="P81" i="356"/>
  <c r="O81" i="356"/>
  <c r="N81" i="356"/>
  <c r="M81" i="356"/>
  <c r="L81" i="356"/>
  <c r="K81" i="356"/>
  <c r="J81" i="356"/>
  <c r="I81" i="356"/>
  <c r="H81" i="356"/>
  <c r="G81" i="356"/>
  <c r="F81" i="356"/>
  <c r="E81" i="356"/>
  <c r="D81" i="356"/>
  <c r="C81" i="356"/>
  <c r="B81" i="356"/>
  <c r="AG80" i="356"/>
  <c r="AF80" i="356"/>
  <c r="AE80" i="356"/>
  <c r="AD80" i="356"/>
  <c r="AC80" i="356"/>
  <c r="AB80" i="356"/>
  <c r="AA80" i="356"/>
  <c r="Z80" i="356"/>
  <c r="Y80" i="356"/>
  <c r="X80" i="356"/>
  <c r="W80" i="356"/>
  <c r="V80" i="356"/>
  <c r="U80" i="356"/>
  <c r="T80" i="356"/>
  <c r="S80" i="356"/>
  <c r="R80" i="356"/>
  <c r="Q80" i="356"/>
  <c r="P80" i="356"/>
  <c r="O80" i="356"/>
  <c r="N80" i="356"/>
  <c r="M80" i="356"/>
  <c r="L80" i="356"/>
  <c r="K80" i="356"/>
  <c r="J80" i="356"/>
  <c r="I80" i="356"/>
  <c r="H80" i="356"/>
  <c r="G80" i="356"/>
  <c r="F80" i="356"/>
  <c r="E80" i="356"/>
  <c r="D80" i="356"/>
  <c r="C80" i="356"/>
  <c r="B80" i="356"/>
  <c r="AG79" i="356"/>
  <c r="AF79" i="356"/>
  <c r="AE79" i="356"/>
  <c r="AD79" i="356"/>
  <c r="AC79" i="356"/>
  <c r="AB79" i="356"/>
  <c r="AA79" i="356"/>
  <c r="Z79" i="356"/>
  <c r="Y79" i="356"/>
  <c r="X79" i="356"/>
  <c r="W79" i="356"/>
  <c r="V79" i="356"/>
  <c r="U79" i="356"/>
  <c r="T79" i="356"/>
  <c r="S79" i="356"/>
  <c r="R79" i="356"/>
  <c r="Q79" i="356"/>
  <c r="P79" i="356"/>
  <c r="O79" i="356"/>
  <c r="N79" i="356"/>
  <c r="M79" i="356"/>
  <c r="L79" i="356"/>
  <c r="K79" i="356"/>
  <c r="J79" i="356"/>
  <c r="I79" i="356"/>
  <c r="H79" i="356"/>
  <c r="G79" i="356"/>
  <c r="F79" i="356"/>
  <c r="E79" i="356"/>
  <c r="D79" i="356"/>
  <c r="C79" i="356"/>
  <c r="B79" i="356"/>
  <c r="AB58" i="356"/>
  <c r="AN50" i="356"/>
  <c r="AQ49" i="356"/>
  <c r="AI49" i="356" a="1"/>
  <c r="AI49" i="356" s="1"/>
  <c r="AH49" i="356" a="1"/>
  <c r="AH49" i="356" s="1"/>
  <c r="A49" i="356"/>
  <c r="AQ48" i="356"/>
  <c r="AI48" i="356" a="1"/>
  <c r="AI48" i="356" s="1"/>
  <c r="AH48" i="356" a="1"/>
  <c r="AH48" i="356" s="1"/>
  <c r="A48" i="356"/>
  <c r="AQ47" i="356"/>
  <c r="AI47" i="356" a="1"/>
  <c r="AI47" i="356" s="1"/>
  <c r="AH47" i="356" a="1"/>
  <c r="AH47" i="356" s="1"/>
  <c r="A47" i="356"/>
  <c r="AQ46" i="356"/>
  <c r="AI46" i="356" a="1"/>
  <c r="AI46" i="356" s="1"/>
  <c r="AH46" i="356" a="1"/>
  <c r="AH46" i="356" s="1"/>
  <c r="A46" i="356"/>
  <c r="AQ45" i="356"/>
  <c r="AI45" i="356" a="1"/>
  <c r="AI45" i="356" s="1"/>
  <c r="AH45" i="356" a="1"/>
  <c r="AH45" i="356" s="1"/>
  <c r="A45" i="356"/>
  <c r="AQ44" i="356"/>
  <c r="AI44" i="356" a="1"/>
  <c r="AI44" i="356" s="1"/>
  <c r="AH44" i="356" a="1"/>
  <c r="AH44" i="356" s="1"/>
  <c r="A44" i="356"/>
  <c r="AQ43" i="356"/>
  <c r="AI43" i="356" a="1"/>
  <c r="AI43" i="356" s="1"/>
  <c r="AH43" i="356" a="1"/>
  <c r="AH43" i="356" s="1"/>
  <c r="A43" i="356"/>
  <c r="AQ42" i="356"/>
  <c r="AI42" i="356" a="1"/>
  <c r="AI42" i="356" s="1"/>
  <c r="AH42" i="356" a="1"/>
  <c r="AH42" i="356" s="1"/>
  <c r="A42" i="356"/>
  <c r="AQ41" i="356"/>
  <c r="AI41" i="356" a="1"/>
  <c r="AI41" i="356" s="1"/>
  <c r="AH41" i="356" a="1"/>
  <c r="AH41" i="356" s="1"/>
  <c r="A41" i="356"/>
  <c r="AQ40" i="356"/>
  <c r="AI40" i="356" a="1"/>
  <c r="AI40" i="356" s="1"/>
  <c r="AH40" i="356" a="1"/>
  <c r="AH40" i="356" s="1"/>
  <c r="A40" i="356"/>
  <c r="AQ39" i="356"/>
  <c r="AI39" i="356" a="1"/>
  <c r="AI39" i="356" s="1"/>
  <c r="AH39" i="356" a="1"/>
  <c r="AH39" i="356" s="1"/>
  <c r="A39" i="356"/>
  <c r="AQ38" i="356"/>
  <c r="AI38" i="356" a="1"/>
  <c r="AI38" i="356" s="1"/>
  <c r="AH38" i="356" a="1"/>
  <c r="AH38" i="356" s="1"/>
  <c r="A38" i="356"/>
  <c r="AQ37" i="356"/>
  <c r="AI37" i="356" a="1"/>
  <c r="AI37" i="356" s="1"/>
  <c r="AH37" i="356" a="1"/>
  <c r="AH37" i="356" s="1"/>
  <c r="A37" i="356"/>
  <c r="AQ36" i="356"/>
  <c r="AI36" i="356" a="1"/>
  <c r="AI36" i="356" s="1"/>
  <c r="AH36" i="356" a="1"/>
  <c r="AH36" i="356" s="1"/>
  <c r="A36" i="356"/>
  <c r="AQ35" i="356"/>
  <c r="AI35" i="356" a="1"/>
  <c r="AI35" i="356" s="1"/>
  <c r="AH35" i="356" a="1"/>
  <c r="AH35" i="356" s="1"/>
  <c r="A35" i="356"/>
  <c r="AQ34" i="356"/>
  <c r="AI34" i="356" a="1"/>
  <c r="AI34" i="356" s="1"/>
  <c r="AH34" i="356" a="1"/>
  <c r="AH34" i="356" s="1"/>
  <c r="A34" i="356"/>
  <c r="AQ33" i="356"/>
  <c r="AI33" i="356" a="1"/>
  <c r="AI33" i="356" s="1"/>
  <c r="AH33" i="356" a="1"/>
  <c r="AH33" i="356" s="1"/>
  <c r="A33" i="356"/>
  <c r="AQ32" i="356"/>
  <c r="AI32" i="356" a="1"/>
  <c r="AI32" i="356" s="1"/>
  <c r="AH32" i="356" a="1"/>
  <c r="AH32" i="356" s="1"/>
  <c r="A32" i="356"/>
  <c r="AQ31" i="356"/>
  <c r="AI31" i="356" a="1"/>
  <c r="AI31" i="356" s="1"/>
  <c r="AH31" i="356" a="1"/>
  <c r="AH31" i="356" s="1"/>
  <c r="A31" i="356"/>
  <c r="AQ30" i="356"/>
  <c r="AI30" i="356" a="1"/>
  <c r="AI30" i="356" s="1"/>
  <c r="AH30" i="356" a="1"/>
  <c r="AH30" i="356" s="1"/>
  <c r="A30" i="356"/>
  <c r="AQ29" i="356"/>
  <c r="AI29" i="356" a="1"/>
  <c r="AI29" i="356" s="1"/>
  <c r="AH29" i="356" a="1"/>
  <c r="AH29" i="356" s="1"/>
  <c r="A29" i="356"/>
  <c r="AQ28" i="356"/>
  <c r="AI28" i="356" a="1"/>
  <c r="AI28" i="356" s="1"/>
  <c r="AH28" i="356" a="1"/>
  <c r="AH28" i="356" s="1"/>
  <c r="A28" i="356"/>
  <c r="AQ27" i="356"/>
  <c r="AI27" i="356" a="1"/>
  <c r="AI27" i="356" s="1"/>
  <c r="AH27" i="356" a="1"/>
  <c r="AH27" i="356" s="1"/>
  <c r="A27" i="356"/>
  <c r="AQ26" i="356"/>
  <c r="AI26" i="356" a="1"/>
  <c r="AI26" i="356" s="1"/>
  <c r="AH26" i="356" a="1"/>
  <c r="AH26" i="356" s="1"/>
  <c r="A26" i="356"/>
  <c r="AQ25" i="356"/>
  <c r="AI25" i="356" a="1"/>
  <c r="AI25" i="356" s="1"/>
  <c r="AH25" i="356" a="1"/>
  <c r="AH25" i="356" s="1"/>
  <c r="A25" i="356"/>
  <c r="AQ24" i="356"/>
  <c r="AI24" i="356" a="1"/>
  <c r="AI24" i="356" s="1"/>
  <c r="AH24" i="356" a="1"/>
  <c r="AH24" i="356" s="1"/>
  <c r="A24" i="356"/>
  <c r="AQ23" i="356"/>
  <c r="AI23" i="356" a="1"/>
  <c r="AI23" i="356" s="1"/>
  <c r="AH23" i="356" a="1"/>
  <c r="AH23" i="356" s="1"/>
  <c r="A23" i="356"/>
  <c r="AQ22" i="356"/>
  <c r="AI22" i="356" a="1"/>
  <c r="AI22" i="356" s="1"/>
  <c r="AH22" i="356" a="1"/>
  <c r="AH22" i="356" s="1"/>
  <c r="A22" i="356"/>
  <c r="AQ21" i="356"/>
  <c r="AI21" i="356" a="1"/>
  <c r="AI21" i="356" s="1"/>
  <c r="AH21" i="356" a="1"/>
  <c r="AH21" i="356" s="1"/>
  <c r="A21" i="356"/>
  <c r="AQ20" i="356"/>
  <c r="AI20" i="356" a="1"/>
  <c r="AI20" i="356" s="1"/>
  <c r="AH20" i="356" a="1"/>
  <c r="AH20" i="356" s="1"/>
  <c r="A20" i="356"/>
  <c r="AQ19" i="356"/>
  <c r="AI19" i="356" a="1"/>
  <c r="AI19" i="356" s="1"/>
  <c r="AH19" i="356" a="1"/>
  <c r="AH19" i="356" s="1"/>
  <c r="A19" i="356"/>
  <c r="AQ18" i="356"/>
  <c r="AI18" i="356" a="1"/>
  <c r="AI18" i="356" s="1"/>
  <c r="AH18" i="356" a="1"/>
  <c r="AH18" i="356" s="1"/>
  <c r="A18" i="356"/>
  <c r="AQ17" i="356"/>
  <c r="AI17" i="356" a="1"/>
  <c r="AI17" i="356" s="1"/>
  <c r="AH17" i="356" a="1"/>
  <c r="AH17" i="356" s="1"/>
  <c r="A17" i="356"/>
  <c r="AQ16" i="356"/>
  <c r="AI16" i="356" a="1"/>
  <c r="AI16" i="356" s="1"/>
  <c r="AH16" i="356" a="1"/>
  <c r="AH16" i="356" s="1"/>
  <c r="A16" i="356"/>
  <c r="AQ15" i="356"/>
  <c r="AI15" i="356" a="1"/>
  <c r="AI15" i="356" s="1"/>
  <c r="AH15" i="356" a="1"/>
  <c r="AH15" i="356" s="1"/>
  <c r="A15" i="356"/>
  <c r="AQ14" i="356"/>
  <c r="AI14" i="356" a="1"/>
  <c r="AI14" i="356" s="1"/>
  <c r="AH14" i="356" a="1"/>
  <c r="AH14" i="356" s="1"/>
  <c r="A14" i="356"/>
  <c r="AQ13" i="356"/>
  <c r="AI13" i="356" a="1"/>
  <c r="AI13" i="356" s="1"/>
  <c r="AH13" i="356" a="1"/>
  <c r="AH13" i="356" s="1"/>
  <c r="A13" i="356"/>
  <c r="AQ12" i="356"/>
  <c r="AI12" i="356" a="1"/>
  <c r="AI12" i="356" s="1"/>
  <c r="AH12" i="356" a="1"/>
  <c r="AH12" i="356" s="1"/>
  <c r="A12" i="356"/>
  <c r="AQ11" i="356"/>
  <c r="AI11" i="356" a="1"/>
  <c r="AI11" i="356" s="1"/>
  <c r="AH11" i="356" a="1"/>
  <c r="AH11" i="356" s="1"/>
  <c r="A11" i="356"/>
  <c r="AQ10" i="356"/>
  <c r="AI10" i="356" a="1"/>
  <c r="AI10" i="356" s="1"/>
  <c r="AH10" i="356" a="1"/>
  <c r="AH10" i="356" s="1"/>
  <c r="A10" i="356"/>
  <c r="AD7" i="356"/>
  <c r="AD78" i="356" s="1"/>
  <c r="AB7" i="356"/>
  <c r="AB78" i="356" s="1"/>
  <c r="AC6" i="356"/>
  <c r="T6" i="356"/>
  <c r="T8" i="356" s="1"/>
  <c r="R6" i="356"/>
  <c r="R8" i="356" s="1"/>
  <c r="C4" i="356"/>
  <c r="L3" i="356"/>
  <c r="AA7" i="356" s="1"/>
  <c r="AA78" i="356" s="1"/>
  <c r="M1" i="356"/>
  <c r="AG88" i="355"/>
  <c r="AF88" i="355"/>
  <c r="AE88" i="355"/>
  <c r="AD88" i="355"/>
  <c r="AC88" i="355"/>
  <c r="AB88" i="355"/>
  <c r="AA88" i="355"/>
  <c r="Z88" i="355"/>
  <c r="Y88" i="355"/>
  <c r="X88" i="355"/>
  <c r="W88" i="355"/>
  <c r="V88" i="355"/>
  <c r="U88" i="355"/>
  <c r="T88" i="355"/>
  <c r="S88" i="355"/>
  <c r="R88" i="355"/>
  <c r="Q88" i="355"/>
  <c r="P88" i="355"/>
  <c r="O88" i="355"/>
  <c r="N88" i="355"/>
  <c r="M88" i="355"/>
  <c r="L88" i="355"/>
  <c r="K88" i="355"/>
  <c r="J88" i="355"/>
  <c r="I88" i="355"/>
  <c r="H88" i="355"/>
  <c r="G88" i="355"/>
  <c r="F88" i="355"/>
  <c r="E88" i="355"/>
  <c r="D88" i="355"/>
  <c r="C88" i="355"/>
  <c r="B88" i="355"/>
  <c r="AG87" i="355"/>
  <c r="AF87" i="355"/>
  <c r="AE87" i="355"/>
  <c r="AD87" i="355"/>
  <c r="AC87" i="355"/>
  <c r="AB87" i="355"/>
  <c r="AA87" i="355"/>
  <c r="Z87" i="355"/>
  <c r="Y87" i="355"/>
  <c r="X87" i="355"/>
  <c r="W87" i="355"/>
  <c r="V87" i="355"/>
  <c r="U87" i="355"/>
  <c r="T87" i="355"/>
  <c r="S87" i="355"/>
  <c r="R87" i="355"/>
  <c r="Q87" i="355"/>
  <c r="P87" i="355"/>
  <c r="O87" i="355"/>
  <c r="N87" i="355"/>
  <c r="M87" i="355"/>
  <c r="L87" i="355"/>
  <c r="K87" i="355"/>
  <c r="J87" i="355"/>
  <c r="I87" i="355"/>
  <c r="H87" i="355"/>
  <c r="G87" i="355"/>
  <c r="F87" i="355"/>
  <c r="E87" i="355"/>
  <c r="D87" i="355"/>
  <c r="C87" i="355"/>
  <c r="B87" i="355"/>
  <c r="AG86" i="355"/>
  <c r="AF86" i="355"/>
  <c r="AE86" i="355"/>
  <c r="AD86" i="355"/>
  <c r="AC86" i="355"/>
  <c r="AB86" i="355"/>
  <c r="AA86" i="355"/>
  <c r="Z86" i="355"/>
  <c r="Y86" i="355"/>
  <c r="X86" i="355"/>
  <c r="W86" i="355"/>
  <c r="V86" i="355"/>
  <c r="U86" i="355"/>
  <c r="T86" i="355"/>
  <c r="S86" i="355"/>
  <c r="R86" i="355"/>
  <c r="Q86" i="355"/>
  <c r="P86" i="355"/>
  <c r="O86" i="355"/>
  <c r="N86" i="355"/>
  <c r="M86" i="355"/>
  <c r="L86" i="355"/>
  <c r="K86" i="355"/>
  <c r="J86" i="355"/>
  <c r="I86" i="355"/>
  <c r="H86" i="355"/>
  <c r="G86" i="355"/>
  <c r="F86" i="355"/>
  <c r="E86" i="355"/>
  <c r="D86" i="355"/>
  <c r="C86" i="355"/>
  <c r="B86" i="355"/>
  <c r="AG85" i="355"/>
  <c r="AF85" i="355"/>
  <c r="AE85" i="355"/>
  <c r="AD85" i="355"/>
  <c r="AC85" i="355"/>
  <c r="AB85" i="355"/>
  <c r="AA85" i="355"/>
  <c r="Z85" i="355"/>
  <c r="Y85" i="355"/>
  <c r="X85" i="355"/>
  <c r="W85" i="355"/>
  <c r="V85" i="355"/>
  <c r="U85" i="355"/>
  <c r="T85" i="355"/>
  <c r="S85" i="355"/>
  <c r="R85" i="355"/>
  <c r="Q85" i="355"/>
  <c r="P85" i="355"/>
  <c r="O85" i="355"/>
  <c r="N85" i="355"/>
  <c r="M85" i="355"/>
  <c r="L85" i="355"/>
  <c r="K85" i="355"/>
  <c r="J85" i="355"/>
  <c r="I85" i="355"/>
  <c r="H85" i="355"/>
  <c r="G85" i="355"/>
  <c r="F85" i="355"/>
  <c r="E85" i="355"/>
  <c r="D85" i="355"/>
  <c r="C85" i="355"/>
  <c r="B85" i="355"/>
  <c r="AG84" i="355"/>
  <c r="AF84" i="355"/>
  <c r="AE84" i="355"/>
  <c r="AD84" i="355"/>
  <c r="AC84" i="355"/>
  <c r="AB84" i="355"/>
  <c r="AA84" i="355"/>
  <c r="Z84" i="355"/>
  <c r="Y84" i="355"/>
  <c r="X84" i="355"/>
  <c r="W84" i="355"/>
  <c r="V84" i="355"/>
  <c r="U84" i="355"/>
  <c r="T84" i="355"/>
  <c r="S84" i="355"/>
  <c r="R84" i="355"/>
  <c r="Q84" i="355"/>
  <c r="P84" i="355"/>
  <c r="O84" i="355"/>
  <c r="N84" i="355"/>
  <c r="M84" i="355"/>
  <c r="L84" i="355"/>
  <c r="K84" i="355"/>
  <c r="J84" i="355"/>
  <c r="I84" i="355"/>
  <c r="H84" i="355"/>
  <c r="G84" i="355"/>
  <c r="F84" i="355"/>
  <c r="E84" i="355"/>
  <c r="D84" i="355"/>
  <c r="C84" i="355"/>
  <c r="B84" i="355"/>
  <c r="AG83" i="355"/>
  <c r="AF83" i="355"/>
  <c r="AE83" i="355"/>
  <c r="AD83" i="355"/>
  <c r="AC83" i="355"/>
  <c r="AB83" i="355"/>
  <c r="AA83" i="355"/>
  <c r="Z83" i="355"/>
  <c r="Y83" i="355"/>
  <c r="X83" i="355"/>
  <c r="W83" i="355"/>
  <c r="V83" i="355"/>
  <c r="U83" i="355"/>
  <c r="T83" i="355"/>
  <c r="S83" i="355"/>
  <c r="R83" i="355"/>
  <c r="Q83" i="355"/>
  <c r="P83" i="355"/>
  <c r="O83" i="355"/>
  <c r="N83" i="355"/>
  <c r="M83" i="355"/>
  <c r="L83" i="355"/>
  <c r="K83" i="355"/>
  <c r="J83" i="355"/>
  <c r="I83" i="355"/>
  <c r="H83" i="355"/>
  <c r="G83" i="355"/>
  <c r="F83" i="355"/>
  <c r="E83" i="355"/>
  <c r="D83" i="355"/>
  <c r="C83" i="355"/>
  <c r="B83" i="355"/>
  <c r="AG82" i="355"/>
  <c r="AF82" i="355"/>
  <c r="AE82" i="355"/>
  <c r="AD82" i="355"/>
  <c r="AC82" i="355"/>
  <c r="AB82" i="355"/>
  <c r="AA82" i="355"/>
  <c r="Z82" i="355"/>
  <c r="Y82" i="355"/>
  <c r="X82" i="355"/>
  <c r="W82" i="355"/>
  <c r="V82" i="355"/>
  <c r="U82" i="355"/>
  <c r="T82" i="355"/>
  <c r="S82" i="355"/>
  <c r="R82" i="355"/>
  <c r="Q82" i="355"/>
  <c r="P82" i="355"/>
  <c r="O82" i="355"/>
  <c r="N82" i="355"/>
  <c r="M82" i="355"/>
  <c r="L82" i="355"/>
  <c r="K82" i="355"/>
  <c r="J82" i="355"/>
  <c r="I82" i="355"/>
  <c r="H82" i="355"/>
  <c r="G82" i="355"/>
  <c r="F82" i="355"/>
  <c r="E82" i="355"/>
  <c r="D82" i="355"/>
  <c r="C82" i="355"/>
  <c r="B82" i="355"/>
  <c r="AG81" i="355"/>
  <c r="AF81" i="355"/>
  <c r="AE81" i="355"/>
  <c r="AD81" i="355"/>
  <c r="AC81" i="355"/>
  <c r="AB81" i="355"/>
  <c r="AA81" i="355"/>
  <c r="Z81" i="355"/>
  <c r="Y81" i="355"/>
  <c r="X81" i="355"/>
  <c r="W81" i="355"/>
  <c r="V81" i="355"/>
  <c r="U81" i="355"/>
  <c r="T81" i="355"/>
  <c r="S81" i="355"/>
  <c r="R81" i="355"/>
  <c r="Q81" i="355"/>
  <c r="P81" i="355"/>
  <c r="O81" i="355"/>
  <c r="N81" i="355"/>
  <c r="M81" i="355"/>
  <c r="L81" i="355"/>
  <c r="K81" i="355"/>
  <c r="J81" i="355"/>
  <c r="I81" i="355"/>
  <c r="H81" i="355"/>
  <c r="G81" i="355"/>
  <c r="F81" i="355"/>
  <c r="E81" i="355"/>
  <c r="D81" i="355"/>
  <c r="C81" i="355"/>
  <c r="B81" i="355"/>
  <c r="AG80" i="355"/>
  <c r="AF80" i="355"/>
  <c r="AE80" i="355"/>
  <c r="AD80" i="355"/>
  <c r="AC80" i="355"/>
  <c r="AB80" i="355"/>
  <c r="AA80" i="355"/>
  <c r="Z80" i="355"/>
  <c r="Y80" i="355"/>
  <c r="X80" i="355"/>
  <c r="W80" i="355"/>
  <c r="V80" i="355"/>
  <c r="U80" i="355"/>
  <c r="T80" i="355"/>
  <c r="S80" i="355"/>
  <c r="R80" i="355"/>
  <c r="Q80" i="355"/>
  <c r="P80" i="355"/>
  <c r="O80" i="355"/>
  <c r="N80" i="355"/>
  <c r="M80" i="355"/>
  <c r="L80" i="355"/>
  <c r="K80" i="355"/>
  <c r="J80" i="355"/>
  <c r="I80" i="355"/>
  <c r="H80" i="355"/>
  <c r="G80" i="355"/>
  <c r="F80" i="355"/>
  <c r="E80" i="355"/>
  <c r="D80" i="355"/>
  <c r="C80" i="355"/>
  <c r="B80" i="355"/>
  <c r="AG79" i="355"/>
  <c r="AF79" i="355"/>
  <c r="AE79" i="355"/>
  <c r="AD79" i="355"/>
  <c r="AC79" i="355"/>
  <c r="AB79" i="355"/>
  <c r="AA79" i="355"/>
  <c r="Z79" i="355"/>
  <c r="Y79" i="355"/>
  <c r="X79" i="355"/>
  <c r="W79" i="355"/>
  <c r="V79" i="355"/>
  <c r="U79" i="355"/>
  <c r="T79" i="355"/>
  <c r="S79" i="355"/>
  <c r="R79" i="355"/>
  <c r="Q79" i="355"/>
  <c r="P79" i="355"/>
  <c r="O79" i="355"/>
  <c r="N79" i="355"/>
  <c r="M79" i="355"/>
  <c r="L79" i="355"/>
  <c r="K79" i="355"/>
  <c r="J79" i="355"/>
  <c r="I79" i="355"/>
  <c r="H79" i="355"/>
  <c r="G79" i="355"/>
  <c r="F79" i="355"/>
  <c r="E79" i="355"/>
  <c r="D79" i="355"/>
  <c r="C79" i="355"/>
  <c r="B79" i="355"/>
  <c r="AB58" i="355"/>
  <c r="AN50" i="355"/>
  <c r="AQ49" i="355"/>
  <c r="AI49" i="355" a="1"/>
  <c r="AI49" i="355" s="1"/>
  <c r="AH49" i="355" a="1"/>
  <c r="AH49" i="355" s="1"/>
  <c r="A49" i="355"/>
  <c r="AQ48" i="355"/>
  <c r="AI48" i="355" a="1"/>
  <c r="AI48" i="355" s="1"/>
  <c r="AH48" i="355" a="1"/>
  <c r="AH48" i="355" s="1"/>
  <c r="A48" i="355"/>
  <c r="AQ47" i="355"/>
  <c r="AI47" i="355" a="1"/>
  <c r="AI47" i="355" s="1"/>
  <c r="AH47" i="355" a="1"/>
  <c r="AH47" i="355" s="1"/>
  <c r="A47" i="355"/>
  <c r="AQ46" i="355"/>
  <c r="AI46" i="355" a="1"/>
  <c r="AI46" i="355" s="1"/>
  <c r="AH46" i="355" a="1"/>
  <c r="AH46" i="355" s="1"/>
  <c r="A46" i="355"/>
  <c r="AQ45" i="355"/>
  <c r="AI45" i="355" a="1"/>
  <c r="AI45" i="355" s="1"/>
  <c r="AH45" i="355" a="1"/>
  <c r="AH45" i="355" s="1"/>
  <c r="AJ45" i="355" s="1"/>
  <c r="AK45" i="355" s="1"/>
  <c r="A45" i="355"/>
  <c r="AQ44" i="355"/>
  <c r="AI44" i="355" a="1"/>
  <c r="AI44" i="355" s="1"/>
  <c r="AH44" i="355" a="1"/>
  <c r="AH44" i="355" s="1"/>
  <c r="A44" i="355"/>
  <c r="AQ43" i="355"/>
  <c r="AI43" i="355" a="1"/>
  <c r="AI43" i="355" s="1"/>
  <c r="AH43" i="355" a="1"/>
  <c r="AH43" i="355" s="1"/>
  <c r="A43" i="355"/>
  <c r="AQ42" i="355"/>
  <c r="AI42" i="355" a="1"/>
  <c r="AI42" i="355" s="1"/>
  <c r="AH42" i="355" a="1"/>
  <c r="AH42" i="355" s="1"/>
  <c r="A42" i="355"/>
  <c r="AQ41" i="355"/>
  <c r="AI41" i="355" a="1"/>
  <c r="AI41" i="355" s="1"/>
  <c r="AH41" i="355" a="1"/>
  <c r="AH41" i="355" s="1"/>
  <c r="A41" i="355"/>
  <c r="AQ40" i="355"/>
  <c r="AI40" i="355" a="1"/>
  <c r="AI40" i="355" s="1"/>
  <c r="AH40" i="355" a="1"/>
  <c r="AH40" i="355" s="1"/>
  <c r="A40" i="355"/>
  <c r="AQ39" i="355"/>
  <c r="AI39" i="355" a="1"/>
  <c r="AI39" i="355" s="1"/>
  <c r="AH39" i="355" a="1"/>
  <c r="AH39" i="355" s="1"/>
  <c r="A39" i="355"/>
  <c r="AQ38" i="355"/>
  <c r="AI38" i="355" a="1"/>
  <c r="AI38" i="355" s="1"/>
  <c r="AH38" i="355" a="1"/>
  <c r="AH38" i="355" s="1"/>
  <c r="A38" i="355"/>
  <c r="AQ37" i="355"/>
  <c r="AI37" i="355" a="1"/>
  <c r="AI37" i="355" s="1"/>
  <c r="AH37" i="355" a="1"/>
  <c r="AH37" i="355" s="1"/>
  <c r="AJ37" i="355" s="1"/>
  <c r="AK37" i="355" s="1"/>
  <c r="A37" i="355"/>
  <c r="AQ36" i="355"/>
  <c r="AI36" i="355" a="1"/>
  <c r="AI36" i="355" s="1"/>
  <c r="AH36" i="355" a="1"/>
  <c r="AH36" i="355" s="1"/>
  <c r="A36" i="355"/>
  <c r="AQ35" i="355"/>
  <c r="AI35" i="355" a="1"/>
  <c r="AI35" i="355" s="1"/>
  <c r="AH35" i="355" a="1"/>
  <c r="AH35" i="355" s="1"/>
  <c r="A35" i="355"/>
  <c r="AQ34" i="355"/>
  <c r="AI34" i="355" a="1"/>
  <c r="AI34" i="355" s="1"/>
  <c r="AH34" i="355" a="1"/>
  <c r="AH34" i="355" s="1"/>
  <c r="A34" i="355"/>
  <c r="AQ33" i="355"/>
  <c r="AI33" i="355" a="1"/>
  <c r="AI33" i="355" s="1"/>
  <c r="AH33" i="355" a="1"/>
  <c r="AH33" i="355" s="1"/>
  <c r="A33" i="355"/>
  <c r="AQ32" i="355"/>
  <c r="AI32" i="355" a="1"/>
  <c r="AI32" i="355" s="1"/>
  <c r="AH32" i="355" a="1"/>
  <c r="AH32" i="355" s="1"/>
  <c r="A32" i="355"/>
  <c r="AQ31" i="355"/>
  <c r="AI31" i="355" a="1"/>
  <c r="AI31" i="355" s="1"/>
  <c r="AH31" i="355" a="1"/>
  <c r="AH31" i="355" s="1"/>
  <c r="A31" i="355"/>
  <c r="AQ30" i="355"/>
  <c r="AI30" i="355" a="1"/>
  <c r="AI30" i="355" s="1"/>
  <c r="AH30" i="355" a="1"/>
  <c r="AH30" i="355" s="1"/>
  <c r="A30" i="355"/>
  <c r="AQ29" i="355"/>
  <c r="AI29" i="355" a="1"/>
  <c r="AI29" i="355" s="1"/>
  <c r="AH29" i="355" a="1"/>
  <c r="AH29" i="355" s="1"/>
  <c r="A29" i="355"/>
  <c r="AQ28" i="355"/>
  <c r="AI28" i="355" a="1"/>
  <c r="AI28" i="355" s="1"/>
  <c r="AH28" i="355" a="1"/>
  <c r="AH28" i="355" s="1"/>
  <c r="A28" i="355"/>
  <c r="AQ27" i="355"/>
  <c r="AI27" i="355" a="1"/>
  <c r="AI27" i="355" s="1"/>
  <c r="AH27" i="355" a="1"/>
  <c r="AH27" i="355" s="1"/>
  <c r="A27" i="355"/>
  <c r="AQ26" i="355"/>
  <c r="AI26" i="355" a="1"/>
  <c r="AI26" i="355" s="1"/>
  <c r="AH26" i="355" a="1"/>
  <c r="AH26" i="355" s="1"/>
  <c r="A26" i="355"/>
  <c r="AQ25" i="355"/>
  <c r="AI25" i="355" a="1"/>
  <c r="AI25" i="355" s="1"/>
  <c r="AH25" i="355" a="1"/>
  <c r="AH25" i="355" s="1"/>
  <c r="A25" i="355"/>
  <c r="AQ24" i="355"/>
  <c r="AI24" i="355" a="1"/>
  <c r="AI24" i="355" s="1"/>
  <c r="AH24" i="355" a="1"/>
  <c r="AH24" i="355" s="1"/>
  <c r="A24" i="355"/>
  <c r="AQ23" i="355"/>
  <c r="AI23" i="355" a="1"/>
  <c r="AI23" i="355" s="1"/>
  <c r="AH23" i="355" a="1"/>
  <c r="AH23" i="355" s="1"/>
  <c r="A23" i="355"/>
  <c r="AQ22" i="355"/>
  <c r="AI22" i="355" a="1"/>
  <c r="AI22" i="355" s="1"/>
  <c r="AH22" i="355" a="1"/>
  <c r="AH22" i="355" s="1"/>
  <c r="A22" i="355"/>
  <c r="AQ21" i="355"/>
  <c r="AI21" i="355" a="1"/>
  <c r="AI21" i="355" s="1"/>
  <c r="AH21" i="355" a="1"/>
  <c r="AH21" i="355" s="1"/>
  <c r="A21" i="355"/>
  <c r="AQ20" i="355"/>
  <c r="AI20" i="355" a="1"/>
  <c r="AI20" i="355" s="1"/>
  <c r="AH20" i="355" a="1"/>
  <c r="AH20" i="355" s="1"/>
  <c r="A20" i="355"/>
  <c r="AQ19" i="355"/>
  <c r="AI19" i="355" a="1"/>
  <c r="AI19" i="355" s="1"/>
  <c r="AH19" i="355" a="1"/>
  <c r="AH19" i="355" s="1"/>
  <c r="A19" i="355"/>
  <c r="AQ18" i="355"/>
  <c r="AI18" i="355" a="1"/>
  <c r="AI18" i="355" s="1"/>
  <c r="AH18" i="355" a="1"/>
  <c r="AH18" i="355" s="1"/>
  <c r="A18" i="355"/>
  <c r="AQ17" i="355"/>
  <c r="AI17" i="355" a="1"/>
  <c r="AI17" i="355" s="1"/>
  <c r="AH17" i="355" a="1"/>
  <c r="AH17" i="355" s="1"/>
  <c r="A17" i="355"/>
  <c r="AQ16" i="355"/>
  <c r="AI16" i="355" a="1"/>
  <c r="AI16" i="355" s="1"/>
  <c r="AH16" i="355" a="1"/>
  <c r="AH16" i="355" s="1"/>
  <c r="A16" i="355"/>
  <c r="AQ15" i="355"/>
  <c r="AI15" i="355" a="1"/>
  <c r="AI15" i="355" s="1"/>
  <c r="AH15" i="355" a="1"/>
  <c r="AH15" i="355" s="1"/>
  <c r="A15" i="355"/>
  <c r="AQ14" i="355"/>
  <c r="AI14" i="355" a="1"/>
  <c r="AI14" i="355" s="1"/>
  <c r="AH14" i="355" a="1"/>
  <c r="AH14" i="355" s="1"/>
  <c r="A14" i="355"/>
  <c r="AQ13" i="355"/>
  <c r="AI13" i="355" a="1"/>
  <c r="AI13" i="355" s="1"/>
  <c r="AH13" i="355" a="1"/>
  <c r="AH13" i="355" s="1"/>
  <c r="A13" i="355"/>
  <c r="AQ12" i="355"/>
  <c r="AI12" i="355" a="1"/>
  <c r="AI12" i="355" s="1"/>
  <c r="AH12" i="355" a="1"/>
  <c r="AH12" i="355" s="1"/>
  <c r="A12" i="355"/>
  <c r="AQ11" i="355"/>
  <c r="AI11" i="355" a="1"/>
  <c r="AI11" i="355" s="1"/>
  <c r="AH11" i="355" a="1"/>
  <c r="AH11" i="355" s="1"/>
  <c r="A11" i="355"/>
  <c r="AQ10" i="355"/>
  <c r="AI10" i="355" a="1"/>
  <c r="AI10" i="355" s="1"/>
  <c r="AH10" i="355" a="1"/>
  <c r="AH10" i="355" s="1"/>
  <c r="A10" i="355"/>
  <c r="C4" i="355"/>
  <c r="L3" i="355"/>
  <c r="AB7" i="355" s="1"/>
  <c r="AB78" i="355" s="1"/>
  <c r="M1" i="355"/>
  <c r="AG88" i="354"/>
  <c r="AF88" i="354"/>
  <c r="AE88" i="354"/>
  <c r="AD88" i="354"/>
  <c r="AC88" i="354"/>
  <c r="AB88" i="354"/>
  <c r="AA88" i="354"/>
  <c r="Z88" i="354"/>
  <c r="Y88" i="354"/>
  <c r="X88" i="354"/>
  <c r="W88" i="354"/>
  <c r="V88" i="354"/>
  <c r="U88" i="354"/>
  <c r="T88" i="354"/>
  <c r="S88" i="354"/>
  <c r="R88" i="354"/>
  <c r="Q88" i="354"/>
  <c r="P88" i="354"/>
  <c r="O88" i="354"/>
  <c r="N88" i="354"/>
  <c r="M88" i="354"/>
  <c r="L88" i="354"/>
  <c r="K88" i="354"/>
  <c r="J88" i="354"/>
  <c r="I88" i="354"/>
  <c r="H88" i="354"/>
  <c r="G88" i="354"/>
  <c r="F88" i="354"/>
  <c r="E88" i="354"/>
  <c r="D88" i="354"/>
  <c r="C88" i="354"/>
  <c r="B88" i="354"/>
  <c r="AG87" i="354"/>
  <c r="AF87" i="354"/>
  <c r="AE87" i="354"/>
  <c r="AD87" i="354"/>
  <c r="AC87" i="354"/>
  <c r="AB87" i="354"/>
  <c r="AA87" i="354"/>
  <c r="Z87" i="354"/>
  <c r="Y87" i="354"/>
  <c r="X87" i="354"/>
  <c r="W87" i="354"/>
  <c r="V87" i="354"/>
  <c r="U87" i="354"/>
  <c r="T87" i="354"/>
  <c r="S87" i="354"/>
  <c r="R87" i="354"/>
  <c r="Q87" i="354"/>
  <c r="P87" i="354"/>
  <c r="O87" i="354"/>
  <c r="N87" i="354"/>
  <c r="M87" i="354"/>
  <c r="L87" i="354"/>
  <c r="K87" i="354"/>
  <c r="J87" i="354"/>
  <c r="I87" i="354"/>
  <c r="H87" i="354"/>
  <c r="G87" i="354"/>
  <c r="F87" i="354"/>
  <c r="E87" i="354"/>
  <c r="D87" i="354"/>
  <c r="C87" i="354"/>
  <c r="B87" i="354"/>
  <c r="AG86" i="354"/>
  <c r="AF86" i="354"/>
  <c r="AE86" i="354"/>
  <c r="AD86" i="354"/>
  <c r="AC86" i="354"/>
  <c r="AB86" i="354"/>
  <c r="AA86" i="354"/>
  <c r="Z86" i="354"/>
  <c r="Y86" i="354"/>
  <c r="X86" i="354"/>
  <c r="W86" i="354"/>
  <c r="V86" i="354"/>
  <c r="U86" i="354"/>
  <c r="T86" i="354"/>
  <c r="S86" i="354"/>
  <c r="R86" i="354"/>
  <c r="Q86" i="354"/>
  <c r="P86" i="354"/>
  <c r="O86" i="354"/>
  <c r="N86" i="354"/>
  <c r="M86" i="354"/>
  <c r="L86" i="354"/>
  <c r="K86" i="354"/>
  <c r="J86" i="354"/>
  <c r="I86" i="354"/>
  <c r="H86" i="354"/>
  <c r="G86" i="354"/>
  <c r="F86" i="354"/>
  <c r="E86" i="354"/>
  <c r="D86" i="354"/>
  <c r="C86" i="354"/>
  <c r="B86" i="354"/>
  <c r="AG85" i="354"/>
  <c r="AF85" i="354"/>
  <c r="AE85" i="354"/>
  <c r="AD85" i="354"/>
  <c r="AC85" i="354"/>
  <c r="AB85" i="354"/>
  <c r="AA85" i="354"/>
  <c r="Z85" i="354"/>
  <c r="Y85" i="354"/>
  <c r="X85" i="354"/>
  <c r="W85" i="354"/>
  <c r="V85" i="354"/>
  <c r="U85" i="354"/>
  <c r="T85" i="354"/>
  <c r="S85" i="354"/>
  <c r="R85" i="354"/>
  <c r="Q85" i="354"/>
  <c r="P85" i="354"/>
  <c r="O85" i="354"/>
  <c r="N85" i="354"/>
  <c r="M85" i="354"/>
  <c r="L85" i="354"/>
  <c r="K85" i="354"/>
  <c r="J85" i="354"/>
  <c r="I85" i="354"/>
  <c r="H85" i="354"/>
  <c r="G85" i="354"/>
  <c r="F85" i="354"/>
  <c r="E85" i="354"/>
  <c r="D85" i="354"/>
  <c r="C85" i="354"/>
  <c r="B85" i="354"/>
  <c r="AG84" i="354"/>
  <c r="AF84" i="354"/>
  <c r="AE84" i="354"/>
  <c r="AD84" i="354"/>
  <c r="AC84" i="354"/>
  <c r="AB84" i="354"/>
  <c r="AA84" i="354"/>
  <c r="Z84" i="354"/>
  <c r="Y84" i="354"/>
  <c r="X84" i="354"/>
  <c r="W84" i="354"/>
  <c r="V84" i="354"/>
  <c r="U84" i="354"/>
  <c r="T84" i="354"/>
  <c r="S84" i="354"/>
  <c r="R84" i="354"/>
  <c r="Q84" i="354"/>
  <c r="P84" i="354"/>
  <c r="O84" i="354"/>
  <c r="N84" i="354"/>
  <c r="M84" i="354"/>
  <c r="L84" i="354"/>
  <c r="K84" i="354"/>
  <c r="J84" i="354"/>
  <c r="I84" i="354"/>
  <c r="H84" i="354"/>
  <c r="G84" i="354"/>
  <c r="F84" i="354"/>
  <c r="E84" i="354"/>
  <c r="D84" i="354"/>
  <c r="C84" i="354"/>
  <c r="B84" i="354"/>
  <c r="AG83" i="354"/>
  <c r="AF83" i="354"/>
  <c r="AE83" i="354"/>
  <c r="AD83" i="354"/>
  <c r="AC83" i="354"/>
  <c r="AB83" i="354"/>
  <c r="AA83" i="354"/>
  <c r="Z83" i="354"/>
  <c r="Y83" i="354"/>
  <c r="X83" i="354"/>
  <c r="W83" i="354"/>
  <c r="V83" i="354"/>
  <c r="U83" i="354"/>
  <c r="T83" i="354"/>
  <c r="S83" i="354"/>
  <c r="R83" i="354"/>
  <c r="Q83" i="354"/>
  <c r="P83" i="354"/>
  <c r="O83" i="354"/>
  <c r="N83" i="354"/>
  <c r="M83" i="354"/>
  <c r="L83" i="354"/>
  <c r="K83" i="354"/>
  <c r="J83" i="354"/>
  <c r="I83" i="354"/>
  <c r="H83" i="354"/>
  <c r="G83" i="354"/>
  <c r="F83" i="354"/>
  <c r="E83" i="354"/>
  <c r="D83" i="354"/>
  <c r="C83" i="354"/>
  <c r="B83" i="354"/>
  <c r="AG82" i="354"/>
  <c r="AF82" i="354"/>
  <c r="AE82" i="354"/>
  <c r="AD82" i="354"/>
  <c r="AC82" i="354"/>
  <c r="AB82" i="354"/>
  <c r="AA82" i="354"/>
  <c r="Z82" i="354"/>
  <c r="Y82" i="354"/>
  <c r="X82" i="354"/>
  <c r="W82" i="354"/>
  <c r="V82" i="354"/>
  <c r="U82" i="354"/>
  <c r="T82" i="354"/>
  <c r="S82" i="354"/>
  <c r="R82" i="354"/>
  <c r="Q82" i="354"/>
  <c r="P82" i="354"/>
  <c r="O82" i="354"/>
  <c r="N82" i="354"/>
  <c r="M82" i="354"/>
  <c r="L82" i="354"/>
  <c r="K82" i="354"/>
  <c r="J82" i="354"/>
  <c r="I82" i="354"/>
  <c r="H82" i="354"/>
  <c r="G82" i="354"/>
  <c r="F82" i="354"/>
  <c r="E82" i="354"/>
  <c r="D82" i="354"/>
  <c r="C82" i="354"/>
  <c r="B82" i="354"/>
  <c r="AG81" i="354"/>
  <c r="AF81" i="354"/>
  <c r="AE81" i="354"/>
  <c r="AD81" i="354"/>
  <c r="AC81" i="354"/>
  <c r="AB81" i="354"/>
  <c r="AA81" i="354"/>
  <c r="Z81" i="354"/>
  <c r="Y81" i="354"/>
  <c r="X81" i="354"/>
  <c r="W81" i="354"/>
  <c r="V81" i="354"/>
  <c r="U81" i="354"/>
  <c r="T81" i="354"/>
  <c r="S81" i="354"/>
  <c r="R81" i="354"/>
  <c r="Q81" i="354"/>
  <c r="P81" i="354"/>
  <c r="O81" i="354"/>
  <c r="N81" i="354"/>
  <c r="M81" i="354"/>
  <c r="L81" i="354"/>
  <c r="K81" i="354"/>
  <c r="J81" i="354"/>
  <c r="I81" i="354"/>
  <c r="H81" i="354"/>
  <c r="G81" i="354"/>
  <c r="F81" i="354"/>
  <c r="E81" i="354"/>
  <c r="D81" i="354"/>
  <c r="C81" i="354"/>
  <c r="B81" i="354"/>
  <c r="AG80" i="354"/>
  <c r="AF80" i="354"/>
  <c r="AE80" i="354"/>
  <c r="AD80" i="354"/>
  <c r="AC80" i="354"/>
  <c r="AB80" i="354"/>
  <c r="AA80" i="354"/>
  <c r="Z80" i="354"/>
  <c r="Y80" i="354"/>
  <c r="X80" i="354"/>
  <c r="W80" i="354"/>
  <c r="V80" i="354"/>
  <c r="U80" i="354"/>
  <c r="T80" i="354"/>
  <c r="S80" i="354"/>
  <c r="R80" i="354"/>
  <c r="Q80" i="354"/>
  <c r="P80" i="354"/>
  <c r="O80" i="354"/>
  <c r="N80" i="354"/>
  <c r="M80" i="354"/>
  <c r="L80" i="354"/>
  <c r="K80" i="354"/>
  <c r="J80" i="354"/>
  <c r="I80" i="354"/>
  <c r="H80" i="354"/>
  <c r="G80" i="354"/>
  <c r="F80" i="354"/>
  <c r="E80" i="354"/>
  <c r="D80" i="354"/>
  <c r="C80" i="354"/>
  <c r="B80" i="354"/>
  <c r="AG79" i="354"/>
  <c r="AF79" i="354"/>
  <c r="AE79" i="354"/>
  <c r="AD79" i="354"/>
  <c r="AC79" i="354"/>
  <c r="AB79" i="354"/>
  <c r="AA79" i="354"/>
  <c r="Z79" i="354"/>
  <c r="Y79" i="354"/>
  <c r="X79" i="354"/>
  <c r="W79" i="354"/>
  <c r="V79" i="354"/>
  <c r="U79" i="354"/>
  <c r="T79" i="354"/>
  <c r="S79" i="354"/>
  <c r="R79" i="354"/>
  <c r="Q79" i="354"/>
  <c r="P79" i="354"/>
  <c r="O79" i="354"/>
  <c r="N79" i="354"/>
  <c r="M79" i="354"/>
  <c r="L79" i="354"/>
  <c r="K79" i="354"/>
  <c r="J79" i="354"/>
  <c r="I79" i="354"/>
  <c r="H79" i="354"/>
  <c r="G79" i="354"/>
  <c r="F79" i="354"/>
  <c r="E79" i="354"/>
  <c r="D79" i="354"/>
  <c r="C79" i="354"/>
  <c r="B79" i="354"/>
  <c r="AB58" i="354"/>
  <c r="AN50" i="354"/>
  <c r="AQ49" i="354"/>
  <c r="AI49" i="354" a="1"/>
  <c r="AI49" i="354" s="1"/>
  <c r="AH49" i="354" a="1"/>
  <c r="AH49" i="354" s="1"/>
  <c r="A49" i="354"/>
  <c r="AQ48" i="354"/>
  <c r="AI48" i="354" a="1"/>
  <c r="AI48" i="354" s="1"/>
  <c r="AH48" i="354" a="1"/>
  <c r="AH48" i="354" s="1"/>
  <c r="A48" i="354"/>
  <c r="AQ47" i="354"/>
  <c r="AI47" i="354" a="1"/>
  <c r="AI47" i="354" s="1"/>
  <c r="AH47" i="354" a="1"/>
  <c r="AH47" i="354" s="1"/>
  <c r="A47" i="354"/>
  <c r="AQ46" i="354"/>
  <c r="AI46" i="354" a="1"/>
  <c r="AI46" i="354" s="1"/>
  <c r="AH46" i="354" a="1"/>
  <c r="AH46" i="354" s="1"/>
  <c r="A46" i="354"/>
  <c r="AQ45" i="354"/>
  <c r="AI45" i="354" a="1"/>
  <c r="AI45" i="354" s="1"/>
  <c r="AH45" i="354" a="1"/>
  <c r="AH45" i="354" s="1"/>
  <c r="A45" i="354"/>
  <c r="AQ44" i="354"/>
  <c r="AI44" i="354" a="1"/>
  <c r="AI44" i="354" s="1"/>
  <c r="AH44" i="354" a="1"/>
  <c r="AH44" i="354" s="1"/>
  <c r="A44" i="354"/>
  <c r="AQ43" i="354"/>
  <c r="AI43" i="354" a="1"/>
  <c r="AI43" i="354" s="1"/>
  <c r="AH43" i="354" a="1"/>
  <c r="AH43" i="354" s="1"/>
  <c r="A43" i="354"/>
  <c r="AQ42" i="354"/>
  <c r="AI42" i="354" a="1"/>
  <c r="AI42" i="354" s="1"/>
  <c r="AH42" i="354" a="1"/>
  <c r="AH42" i="354" s="1"/>
  <c r="A42" i="354"/>
  <c r="AQ41" i="354"/>
  <c r="AI41" i="354" a="1"/>
  <c r="AI41" i="354" s="1"/>
  <c r="AH41" i="354" a="1"/>
  <c r="AH41" i="354" s="1"/>
  <c r="A41" i="354"/>
  <c r="AQ40" i="354"/>
  <c r="AI40" i="354" a="1"/>
  <c r="AI40" i="354" s="1"/>
  <c r="AH40" i="354" a="1"/>
  <c r="AH40" i="354" s="1"/>
  <c r="A40" i="354"/>
  <c r="AQ39" i="354"/>
  <c r="AI39" i="354" a="1"/>
  <c r="AI39" i="354" s="1"/>
  <c r="AH39" i="354" a="1"/>
  <c r="AH39" i="354" s="1"/>
  <c r="A39" i="354"/>
  <c r="AQ38" i="354"/>
  <c r="AI38" i="354" a="1"/>
  <c r="AI38" i="354" s="1"/>
  <c r="AH38" i="354" a="1"/>
  <c r="AH38" i="354" s="1"/>
  <c r="A38" i="354"/>
  <c r="AQ37" i="354"/>
  <c r="AI37" i="354" a="1"/>
  <c r="AI37" i="354" s="1"/>
  <c r="AH37" i="354" a="1"/>
  <c r="AH37" i="354" s="1"/>
  <c r="A37" i="354"/>
  <c r="AQ36" i="354"/>
  <c r="AI36" i="354" a="1"/>
  <c r="AI36" i="354" s="1"/>
  <c r="AH36" i="354" a="1"/>
  <c r="AH36" i="354" s="1"/>
  <c r="A36" i="354"/>
  <c r="AQ35" i="354"/>
  <c r="AI35" i="354" a="1"/>
  <c r="AI35" i="354" s="1"/>
  <c r="AH35" i="354" a="1"/>
  <c r="AH35" i="354" s="1"/>
  <c r="A35" i="354"/>
  <c r="AQ34" i="354"/>
  <c r="AI34" i="354" a="1"/>
  <c r="AI34" i="354" s="1"/>
  <c r="AH34" i="354" a="1"/>
  <c r="AH34" i="354" s="1"/>
  <c r="A34" i="354"/>
  <c r="AQ33" i="354"/>
  <c r="AI33" i="354" a="1"/>
  <c r="AI33" i="354" s="1"/>
  <c r="AH33" i="354" a="1"/>
  <c r="AH33" i="354" s="1"/>
  <c r="A33" i="354"/>
  <c r="AQ32" i="354"/>
  <c r="AI32" i="354" a="1"/>
  <c r="AI32" i="354" s="1"/>
  <c r="AH32" i="354" a="1"/>
  <c r="AH32" i="354" s="1"/>
  <c r="A32" i="354"/>
  <c r="AQ31" i="354"/>
  <c r="AI31" i="354" a="1"/>
  <c r="AI31" i="354" s="1"/>
  <c r="AH31" i="354" a="1"/>
  <c r="AH31" i="354" s="1"/>
  <c r="A31" i="354"/>
  <c r="AQ30" i="354"/>
  <c r="AI30" i="354" a="1"/>
  <c r="AI30" i="354" s="1"/>
  <c r="AH30" i="354" a="1"/>
  <c r="AH30" i="354" s="1"/>
  <c r="A30" i="354"/>
  <c r="AQ29" i="354"/>
  <c r="AI29" i="354" a="1"/>
  <c r="AI29" i="354" s="1"/>
  <c r="AH29" i="354" a="1"/>
  <c r="AH29" i="354" s="1"/>
  <c r="A29" i="354"/>
  <c r="AQ28" i="354"/>
  <c r="AI28" i="354" a="1"/>
  <c r="AI28" i="354" s="1"/>
  <c r="AH28" i="354" a="1"/>
  <c r="AH28" i="354" s="1"/>
  <c r="A28" i="354"/>
  <c r="AQ27" i="354"/>
  <c r="AI27" i="354" a="1"/>
  <c r="AI27" i="354" s="1"/>
  <c r="AH27" i="354" a="1"/>
  <c r="AH27" i="354" s="1"/>
  <c r="A27" i="354"/>
  <c r="AQ26" i="354"/>
  <c r="AI26" i="354" a="1"/>
  <c r="AI26" i="354" s="1"/>
  <c r="AH26" i="354" a="1"/>
  <c r="AH26" i="354" s="1"/>
  <c r="A26" i="354"/>
  <c r="AQ25" i="354"/>
  <c r="AI25" i="354" a="1"/>
  <c r="AI25" i="354" s="1"/>
  <c r="AH25" i="354" a="1"/>
  <c r="AH25" i="354" s="1"/>
  <c r="A25" i="354"/>
  <c r="AQ24" i="354"/>
  <c r="AI24" i="354" a="1"/>
  <c r="AI24" i="354" s="1"/>
  <c r="AH24" i="354" a="1"/>
  <c r="AH24" i="354" s="1"/>
  <c r="A24" i="354"/>
  <c r="AQ23" i="354"/>
  <c r="AI23" i="354" a="1"/>
  <c r="AI23" i="354" s="1"/>
  <c r="AH23" i="354" a="1"/>
  <c r="AH23" i="354" s="1"/>
  <c r="A23" i="354"/>
  <c r="AQ22" i="354"/>
  <c r="AI22" i="354" a="1"/>
  <c r="AI22" i="354" s="1"/>
  <c r="AH22" i="354" a="1"/>
  <c r="AH22" i="354" s="1"/>
  <c r="A22" i="354"/>
  <c r="AQ21" i="354"/>
  <c r="AI21" i="354" a="1"/>
  <c r="AI21" i="354" s="1"/>
  <c r="AH21" i="354" a="1"/>
  <c r="AH21" i="354" s="1"/>
  <c r="A21" i="354"/>
  <c r="AQ20" i="354"/>
  <c r="AI20" i="354" a="1"/>
  <c r="AI20" i="354" s="1"/>
  <c r="AH20" i="354" a="1"/>
  <c r="AH20" i="354" s="1"/>
  <c r="A20" i="354"/>
  <c r="AQ19" i="354"/>
  <c r="AI19" i="354" a="1"/>
  <c r="AI19" i="354" s="1"/>
  <c r="AH19" i="354" a="1"/>
  <c r="AH19" i="354" s="1"/>
  <c r="A19" i="354"/>
  <c r="AQ18" i="354"/>
  <c r="AI18" i="354" a="1"/>
  <c r="AI18" i="354" s="1"/>
  <c r="AH18" i="354" a="1"/>
  <c r="AH18" i="354" s="1"/>
  <c r="A18" i="354"/>
  <c r="AQ17" i="354"/>
  <c r="AI17" i="354" a="1"/>
  <c r="AI17" i="354" s="1"/>
  <c r="AH17" i="354" a="1"/>
  <c r="AH17" i="354" s="1"/>
  <c r="A17" i="354"/>
  <c r="AQ16" i="354"/>
  <c r="AI16" i="354" a="1"/>
  <c r="AI16" i="354" s="1"/>
  <c r="AH16" i="354" a="1"/>
  <c r="AH16" i="354" s="1"/>
  <c r="A16" i="354"/>
  <c r="AQ15" i="354"/>
  <c r="AI15" i="354" a="1"/>
  <c r="AI15" i="354" s="1"/>
  <c r="AH15" i="354" a="1"/>
  <c r="AH15" i="354" s="1"/>
  <c r="A15" i="354"/>
  <c r="AQ14" i="354"/>
  <c r="AI14" i="354" a="1"/>
  <c r="AI14" i="354" s="1"/>
  <c r="AH14" i="354" a="1"/>
  <c r="AH14" i="354" s="1"/>
  <c r="A14" i="354"/>
  <c r="AQ13" i="354"/>
  <c r="AI13" i="354" a="1"/>
  <c r="AI13" i="354" s="1"/>
  <c r="AH13" i="354" a="1"/>
  <c r="AH13" i="354" s="1"/>
  <c r="A13" i="354"/>
  <c r="AQ12" i="354"/>
  <c r="AI12" i="354" a="1"/>
  <c r="AI12" i="354" s="1"/>
  <c r="AH12" i="354" a="1"/>
  <c r="AH12" i="354" s="1"/>
  <c r="A12" i="354"/>
  <c r="AQ11" i="354"/>
  <c r="AI11" i="354" a="1"/>
  <c r="AI11" i="354" s="1"/>
  <c r="AH11" i="354" a="1"/>
  <c r="AH11" i="354" s="1"/>
  <c r="A11" i="354"/>
  <c r="AQ10" i="354"/>
  <c r="AI10" i="354" a="1"/>
  <c r="AI10" i="354" s="1"/>
  <c r="AH10" i="354" a="1"/>
  <c r="AH10" i="354" s="1"/>
  <c r="A10" i="354"/>
  <c r="AE7" i="354"/>
  <c r="AE78" i="354" s="1"/>
  <c r="W7" i="354"/>
  <c r="W78" i="354" s="1"/>
  <c r="V7" i="354"/>
  <c r="V78" i="354" s="1"/>
  <c r="N7" i="354"/>
  <c r="N78" i="354" s="1"/>
  <c r="Z6" i="354"/>
  <c r="Z8" i="354" s="1"/>
  <c r="C4" i="354"/>
  <c r="L3" i="354"/>
  <c r="Z7" i="354" s="1"/>
  <c r="Z78" i="354" s="1"/>
  <c r="M1" i="354"/>
  <c r="AG88" i="353"/>
  <c r="AF88" i="353"/>
  <c r="AE88" i="353"/>
  <c r="AD88" i="353"/>
  <c r="AC88" i="353"/>
  <c r="AB88" i="353"/>
  <c r="AA88" i="353"/>
  <c r="Z88" i="353"/>
  <c r="Y88" i="353"/>
  <c r="X88" i="353"/>
  <c r="W88" i="353"/>
  <c r="V88" i="353"/>
  <c r="U88" i="353"/>
  <c r="T88" i="353"/>
  <c r="S88" i="353"/>
  <c r="R88" i="353"/>
  <c r="Q88" i="353"/>
  <c r="P88" i="353"/>
  <c r="O88" i="353"/>
  <c r="N88" i="353"/>
  <c r="M88" i="353"/>
  <c r="L88" i="353"/>
  <c r="K88" i="353"/>
  <c r="J88" i="353"/>
  <c r="I88" i="353"/>
  <c r="H88" i="353"/>
  <c r="G88" i="353"/>
  <c r="F88" i="353"/>
  <c r="E88" i="353"/>
  <c r="D88" i="353"/>
  <c r="C88" i="353"/>
  <c r="B88" i="353"/>
  <c r="AG87" i="353"/>
  <c r="AF87" i="353"/>
  <c r="AE87" i="353"/>
  <c r="AD87" i="353"/>
  <c r="AC87" i="353"/>
  <c r="AB87" i="353"/>
  <c r="AA87" i="353"/>
  <c r="Z87" i="353"/>
  <c r="Y87" i="353"/>
  <c r="X87" i="353"/>
  <c r="W87" i="353"/>
  <c r="V87" i="353"/>
  <c r="U87" i="353"/>
  <c r="T87" i="353"/>
  <c r="S87" i="353"/>
  <c r="R87" i="353"/>
  <c r="Q87" i="353"/>
  <c r="P87" i="353"/>
  <c r="O87" i="353"/>
  <c r="N87" i="353"/>
  <c r="M87" i="353"/>
  <c r="L87" i="353"/>
  <c r="K87" i="353"/>
  <c r="J87" i="353"/>
  <c r="I87" i="353"/>
  <c r="H87" i="353"/>
  <c r="G87" i="353"/>
  <c r="F87" i="353"/>
  <c r="E87" i="353"/>
  <c r="D87" i="353"/>
  <c r="C87" i="353"/>
  <c r="B87" i="353"/>
  <c r="AG86" i="353"/>
  <c r="AF86" i="353"/>
  <c r="AE86" i="353"/>
  <c r="AD86" i="353"/>
  <c r="AC86" i="353"/>
  <c r="AB86" i="353"/>
  <c r="AA86" i="353"/>
  <c r="Z86" i="353"/>
  <c r="Y86" i="353"/>
  <c r="X86" i="353"/>
  <c r="W86" i="353"/>
  <c r="V86" i="353"/>
  <c r="U86" i="353"/>
  <c r="T86" i="353"/>
  <c r="S86" i="353"/>
  <c r="R86" i="353"/>
  <c r="Q86" i="353"/>
  <c r="P86" i="353"/>
  <c r="O86" i="353"/>
  <c r="N86" i="353"/>
  <c r="M86" i="353"/>
  <c r="L86" i="353"/>
  <c r="K86" i="353"/>
  <c r="J86" i="353"/>
  <c r="I86" i="353"/>
  <c r="H86" i="353"/>
  <c r="G86" i="353"/>
  <c r="F86" i="353"/>
  <c r="E86" i="353"/>
  <c r="D86" i="353"/>
  <c r="C86" i="353"/>
  <c r="B86" i="353"/>
  <c r="AG85" i="353"/>
  <c r="AF85" i="353"/>
  <c r="AE85" i="353"/>
  <c r="AD85" i="353"/>
  <c r="AC85" i="353"/>
  <c r="AB85" i="353"/>
  <c r="AA85" i="353"/>
  <c r="Z85" i="353"/>
  <c r="Y85" i="353"/>
  <c r="X85" i="353"/>
  <c r="W85" i="353"/>
  <c r="V85" i="353"/>
  <c r="U85" i="353"/>
  <c r="T85" i="353"/>
  <c r="S85" i="353"/>
  <c r="R85" i="353"/>
  <c r="Q85" i="353"/>
  <c r="P85" i="353"/>
  <c r="O85" i="353"/>
  <c r="N85" i="353"/>
  <c r="M85" i="353"/>
  <c r="L85" i="353"/>
  <c r="K85" i="353"/>
  <c r="J85" i="353"/>
  <c r="I85" i="353"/>
  <c r="H85" i="353"/>
  <c r="G85" i="353"/>
  <c r="F85" i="353"/>
  <c r="E85" i="353"/>
  <c r="D85" i="353"/>
  <c r="C85" i="353"/>
  <c r="B85" i="353"/>
  <c r="AG84" i="353"/>
  <c r="AF84" i="353"/>
  <c r="AE84" i="353"/>
  <c r="AD84" i="353"/>
  <c r="AC84" i="353"/>
  <c r="AB84" i="353"/>
  <c r="AA84" i="353"/>
  <c r="Z84" i="353"/>
  <c r="Y84" i="353"/>
  <c r="X84" i="353"/>
  <c r="W84" i="353"/>
  <c r="V84" i="353"/>
  <c r="U84" i="353"/>
  <c r="T84" i="353"/>
  <c r="S84" i="353"/>
  <c r="R84" i="353"/>
  <c r="Q84" i="353"/>
  <c r="P84" i="353"/>
  <c r="O84" i="353"/>
  <c r="N84" i="353"/>
  <c r="M84" i="353"/>
  <c r="L84" i="353"/>
  <c r="K84" i="353"/>
  <c r="J84" i="353"/>
  <c r="I84" i="353"/>
  <c r="H84" i="353"/>
  <c r="G84" i="353"/>
  <c r="F84" i="353"/>
  <c r="E84" i="353"/>
  <c r="D84" i="353"/>
  <c r="C84" i="353"/>
  <c r="B84" i="353"/>
  <c r="AG83" i="353"/>
  <c r="AF83" i="353"/>
  <c r="AE83" i="353"/>
  <c r="AD83" i="353"/>
  <c r="AC83" i="353"/>
  <c r="AB83" i="353"/>
  <c r="AA83" i="353"/>
  <c r="Z83" i="353"/>
  <c r="Y83" i="353"/>
  <c r="X83" i="353"/>
  <c r="W83" i="353"/>
  <c r="V83" i="353"/>
  <c r="U83" i="353"/>
  <c r="T83" i="353"/>
  <c r="S83" i="353"/>
  <c r="R83" i="353"/>
  <c r="Q83" i="353"/>
  <c r="P83" i="353"/>
  <c r="O83" i="353"/>
  <c r="N83" i="353"/>
  <c r="M83" i="353"/>
  <c r="L83" i="353"/>
  <c r="K83" i="353"/>
  <c r="J83" i="353"/>
  <c r="I83" i="353"/>
  <c r="H83" i="353"/>
  <c r="G83" i="353"/>
  <c r="F83" i="353"/>
  <c r="E83" i="353"/>
  <c r="D83" i="353"/>
  <c r="C83" i="353"/>
  <c r="B83" i="353"/>
  <c r="AG82" i="353"/>
  <c r="AF82" i="353"/>
  <c r="AE82" i="353"/>
  <c r="AD82" i="353"/>
  <c r="AC82" i="353"/>
  <c r="AB82" i="353"/>
  <c r="AA82" i="353"/>
  <c r="Z82" i="353"/>
  <c r="Y82" i="353"/>
  <c r="X82" i="353"/>
  <c r="W82" i="353"/>
  <c r="V82" i="353"/>
  <c r="U82" i="353"/>
  <c r="T82" i="353"/>
  <c r="S82" i="353"/>
  <c r="R82" i="353"/>
  <c r="Q82" i="353"/>
  <c r="P82" i="353"/>
  <c r="O82" i="353"/>
  <c r="N82" i="353"/>
  <c r="M82" i="353"/>
  <c r="L82" i="353"/>
  <c r="K82" i="353"/>
  <c r="J82" i="353"/>
  <c r="I82" i="353"/>
  <c r="H82" i="353"/>
  <c r="G82" i="353"/>
  <c r="F82" i="353"/>
  <c r="E82" i="353"/>
  <c r="D82" i="353"/>
  <c r="C82" i="353"/>
  <c r="B82" i="353"/>
  <c r="AG81" i="353"/>
  <c r="AF81" i="353"/>
  <c r="AE81" i="353"/>
  <c r="AD81" i="353"/>
  <c r="AC81" i="353"/>
  <c r="AB81" i="353"/>
  <c r="AA81" i="353"/>
  <c r="Z81" i="353"/>
  <c r="Y81" i="353"/>
  <c r="X81" i="353"/>
  <c r="W81" i="353"/>
  <c r="V81" i="353"/>
  <c r="U81" i="353"/>
  <c r="T81" i="353"/>
  <c r="S81" i="353"/>
  <c r="R81" i="353"/>
  <c r="Q81" i="353"/>
  <c r="P81" i="353"/>
  <c r="O81" i="353"/>
  <c r="N81" i="353"/>
  <c r="M81" i="353"/>
  <c r="L81" i="353"/>
  <c r="K81" i="353"/>
  <c r="J81" i="353"/>
  <c r="I81" i="353"/>
  <c r="H81" i="353"/>
  <c r="G81" i="353"/>
  <c r="F81" i="353"/>
  <c r="E81" i="353"/>
  <c r="D81" i="353"/>
  <c r="C81" i="353"/>
  <c r="B81" i="353"/>
  <c r="AG80" i="353"/>
  <c r="AF80" i="353"/>
  <c r="AE80" i="353"/>
  <c r="AD80" i="353"/>
  <c r="AC80" i="353"/>
  <c r="AB80" i="353"/>
  <c r="AA80" i="353"/>
  <c r="Z80" i="353"/>
  <c r="Y80" i="353"/>
  <c r="X80" i="353"/>
  <c r="W80" i="353"/>
  <c r="V80" i="353"/>
  <c r="U80" i="353"/>
  <c r="T80" i="353"/>
  <c r="S80" i="353"/>
  <c r="R80" i="353"/>
  <c r="Q80" i="353"/>
  <c r="P80" i="353"/>
  <c r="O80" i="353"/>
  <c r="N80" i="353"/>
  <c r="M80" i="353"/>
  <c r="L80" i="353"/>
  <c r="K80" i="353"/>
  <c r="J80" i="353"/>
  <c r="I80" i="353"/>
  <c r="H80" i="353"/>
  <c r="G80" i="353"/>
  <c r="F80" i="353"/>
  <c r="E80" i="353"/>
  <c r="D80" i="353"/>
  <c r="C80" i="353"/>
  <c r="B80" i="353"/>
  <c r="AG79" i="353"/>
  <c r="AF79" i="353"/>
  <c r="AE79" i="353"/>
  <c r="AD79" i="353"/>
  <c r="AC79" i="353"/>
  <c r="AB79" i="353"/>
  <c r="AA79" i="353"/>
  <c r="Z79" i="353"/>
  <c r="Y79" i="353"/>
  <c r="X79" i="353"/>
  <c r="W79" i="353"/>
  <c r="V79" i="353"/>
  <c r="U79" i="353"/>
  <c r="T79" i="353"/>
  <c r="S79" i="353"/>
  <c r="R79" i="353"/>
  <c r="Q79" i="353"/>
  <c r="P79" i="353"/>
  <c r="O79" i="353"/>
  <c r="N79" i="353"/>
  <c r="M79" i="353"/>
  <c r="L79" i="353"/>
  <c r="K79" i="353"/>
  <c r="J79" i="353"/>
  <c r="I79" i="353"/>
  <c r="H79" i="353"/>
  <c r="G79" i="353"/>
  <c r="F79" i="353"/>
  <c r="E79" i="353"/>
  <c r="D79" i="353"/>
  <c r="C79" i="353"/>
  <c r="B79" i="353"/>
  <c r="AB58" i="353"/>
  <c r="AN50" i="353"/>
  <c r="AQ49" i="353"/>
  <c r="AI49" i="353" a="1"/>
  <c r="AI49" i="353" s="1"/>
  <c r="AH49" i="353" a="1"/>
  <c r="AH49" i="353" s="1"/>
  <c r="A49" i="353"/>
  <c r="AQ48" i="353"/>
  <c r="AI48" i="353" a="1"/>
  <c r="AI48" i="353" s="1"/>
  <c r="AH48" i="353" a="1"/>
  <c r="AH48" i="353" s="1"/>
  <c r="A48" i="353"/>
  <c r="AQ47" i="353"/>
  <c r="AI47" i="353" a="1"/>
  <c r="AI47" i="353" s="1"/>
  <c r="AH47" i="353" a="1"/>
  <c r="AH47" i="353" s="1"/>
  <c r="A47" i="353"/>
  <c r="AQ46" i="353"/>
  <c r="AI46" i="353" a="1"/>
  <c r="AI46" i="353" s="1"/>
  <c r="AH46" i="353" a="1"/>
  <c r="AH46" i="353" s="1"/>
  <c r="A46" i="353"/>
  <c r="AQ45" i="353"/>
  <c r="AI45" i="353" a="1"/>
  <c r="AI45" i="353" s="1"/>
  <c r="AH45" i="353" a="1"/>
  <c r="AH45" i="353" s="1"/>
  <c r="A45" i="353"/>
  <c r="AQ44" i="353"/>
  <c r="AI44" i="353" a="1"/>
  <c r="AI44" i="353" s="1"/>
  <c r="AH44" i="353" a="1"/>
  <c r="AH44" i="353" s="1"/>
  <c r="A44" i="353"/>
  <c r="AQ43" i="353"/>
  <c r="AI43" i="353" a="1"/>
  <c r="AI43" i="353" s="1"/>
  <c r="AH43" i="353" a="1"/>
  <c r="AH43" i="353" s="1"/>
  <c r="A43" i="353"/>
  <c r="AQ42" i="353"/>
  <c r="AI42" i="353" a="1"/>
  <c r="AI42" i="353" s="1"/>
  <c r="AH42" i="353" a="1"/>
  <c r="AH42" i="353" s="1"/>
  <c r="A42" i="353"/>
  <c r="AQ41" i="353"/>
  <c r="AI41" i="353" a="1"/>
  <c r="AI41" i="353" s="1"/>
  <c r="AH41" i="353" a="1"/>
  <c r="AH41" i="353" s="1"/>
  <c r="A41" i="353"/>
  <c r="AQ40" i="353"/>
  <c r="AI40" i="353" a="1"/>
  <c r="AI40" i="353" s="1"/>
  <c r="AH40" i="353" a="1"/>
  <c r="AH40" i="353" s="1"/>
  <c r="A40" i="353"/>
  <c r="AQ39" i="353"/>
  <c r="AI39" i="353" a="1"/>
  <c r="AI39" i="353" s="1"/>
  <c r="AH39" i="353" a="1"/>
  <c r="AH39" i="353" s="1"/>
  <c r="A39" i="353"/>
  <c r="AQ38" i="353"/>
  <c r="AI38" i="353" a="1"/>
  <c r="AI38" i="353" s="1"/>
  <c r="AH38" i="353" a="1"/>
  <c r="AH38" i="353" s="1"/>
  <c r="A38" i="353"/>
  <c r="AQ37" i="353"/>
  <c r="AI37" i="353" a="1"/>
  <c r="AI37" i="353" s="1"/>
  <c r="AH37" i="353" a="1"/>
  <c r="AH37" i="353" s="1"/>
  <c r="A37" i="353"/>
  <c r="AQ36" i="353"/>
  <c r="AI36" i="353" a="1"/>
  <c r="AI36" i="353" s="1"/>
  <c r="AH36" i="353" a="1"/>
  <c r="AH36" i="353" s="1"/>
  <c r="A36" i="353"/>
  <c r="AQ35" i="353"/>
  <c r="AI35" i="353" a="1"/>
  <c r="AI35" i="353" s="1"/>
  <c r="AH35" i="353" a="1"/>
  <c r="AH35" i="353" s="1"/>
  <c r="A35" i="353"/>
  <c r="AQ34" i="353"/>
  <c r="AI34" i="353" a="1"/>
  <c r="AI34" i="353" s="1"/>
  <c r="AH34" i="353" a="1"/>
  <c r="AH34" i="353" s="1"/>
  <c r="A34" i="353"/>
  <c r="AQ33" i="353"/>
  <c r="AI33" i="353" a="1"/>
  <c r="AI33" i="353" s="1"/>
  <c r="AH33" i="353" a="1"/>
  <c r="AH33" i="353" s="1"/>
  <c r="A33" i="353"/>
  <c r="AQ32" i="353"/>
  <c r="AI32" i="353" a="1"/>
  <c r="AI32" i="353" s="1"/>
  <c r="AH32" i="353" a="1"/>
  <c r="AH32" i="353" s="1"/>
  <c r="A32" i="353"/>
  <c r="AQ31" i="353"/>
  <c r="AI31" i="353" a="1"/>
  <c r="AI31" i="353" s="1"/>
  <c r="AH31" i="353" a="1"/>
  <c r="AH31" i="353" s="1"/>
  <c r="A31" i="353"/>
  <c r="AQ30" i="353"/>
  <c r="AI30" i="353" a="1"/>
  <c r="AI30" i="353" s="1"/>
  <c r="AH30" i="353" a="1"/>
  <c r="AH30" i="353" s="1"/>
  <c r="A30" i="353"/>
  <c r="AQ29" i="353"/>
  <c r="AI29" i="353" a="1"/>
  <c r="AI29" i="353" s="1"/>
  <c r="AH29" i="353" a="1"/>
  <c r="AH29" i="353" s="1"/>
  <c r="A29" i="353"/>
  <c r="AQ28" i="353"/>
  <c r="AI28" i="353" a="1"/>
  <c r="AI28" i="353" s="1"/>
  <c r="AH28" i="353" a="1"/>
  <c r="AH28" i="353" s="1"/>
  <c r="A28" i="353"/>
  <c r="AQ27" i="353"/>
  <c r="AI27" i="353" a="1"/>
  <c r="AI27" i="353" s="1"/>
  <c r="AH27" i="353" a="1"/>
  <c r="AH27" i="353" s="1"/>
  <c r="A27" i="353"/>
  <c r="AQ26" i="353"/>
  <c r="AI26" i="353" a="1"/>
  <c r="AI26" i="353" s="1"/>
  <c r="AH26" i="353" a="1"/>
  <c r="AH26" i="353" s="1"/>
  <c r="A26" i="353"/>
  <c r="AQ25" i="353"/>
  <c r="AI25" i="353" a="1"/>
  <c r="AI25" i="353" s="1"/>
  <c r="AH25" i="353" a="1"/>
  <c r="AH25" i="353" s="1"/>
  <c r="A25" i="353"/>
  <c r="AQ24" i="353"/>
  <c r="AI24" i="353" a="1"/>
  <c r="AI24" i="353" s="1"/>
  <c r="AH24" i="353" a="1"/>
  <c r="AH24" i="353" s="1"/>
  <c r="A24" i="353"/>
  <c r="AQ23" i="353"/>
  <c r="AI23" i="353" a="1"/>
  <c r="AI23" i="353" s="1"/>
  <c r="AH23" i="353" a="1"/>
  <c r="AH23" i="353" s="1"/>
  <c r="A23" i="353"/>
  <c r="AQ22" i="353"/>
  <c r="AI22" i="353" a="1"/>
  <c r="AI22" i="353" s="1"/>
  <c r="AH22" i="353" a="1"/>
  <c r="AH22" i="353" s="1"/>
  <c r="A22" i="353"/>
  <c r="AQ21" i="353"/>
  <c r="AI21" i="353" a="1"/>
  <c r="AI21" i="353" s="1"/>
  <c r="AH21" i="353" a="1"/>
  <c r="AH21" i="353" s="1"/>
  <c r="A21" i="353"/>
  <c r="AQ20" i="353"/>
  <c r="AI20" i="353" a="1"/>
  <c r="AI20" i="353" s="1"/>
  <c r="AH20" i="353" a="1"/>
  <c r="AH20" i="353" s="1"/>
  <c r="A20" i="353"/>
  <c r="AQ19" i="353"/>
  <c r="AI19" i="353" a="1"/>
  <c r="AI19" i="353" s="1"/>
  <c r="AH19" i="353" a="1"/>
  <c r="AH19" i="353" s="1"/>
  <c r="A19" i="353"/>
  <c r="AQ18" i="353"/>
  <c r="AI18" i="353" a="1"/>
  <c r="AI18" i="353" s="1"/>
  <c r="AH18" i="353" a="1"/>
  <c r="AH18" i="353" s="1"/>
  <c r="A18" i="353"/>
  <c r="AQ17" i="353"/>
  <c r="AI17" i="353" a="1"/>
  <c r="AI17" i="353" s="1"/>
  <c r="AH17" i="353" a="1"/>
  <c r="AH17" i="353" s="1"/>
  <c r="A17" i="353"/>
  <c r="AQ16" i="353"/>
  <c r="AI16" i="353" a="1"/>
  <c r="AI16" i="353" s="1"/>
  <c r="AH16" i="353" a="1"/>
  <c r="AH16" i="353" s="1"/>
  <c r="A16" i="353"/>
  <c r="AQ15" i="353"/>
  <c r="AI15" i="353" a="1"/>
  <c r="AI15" i="353" s="1"/>
  <c r="AH15" i="353" a="1"/>
  <c r="AH15" i="353" s="1"/>
  <c r="A15" i="353"/>
  <c r="AQ14" i="353"/>
  <c r="AI14" i="353" a="1"/>
  <c r="AI14" i="353" s="1"/>
  <c r="AH14" i="353" a="1"/>
  <c r="AH14" i="353" s="1"/>
  <c r="A14" i="353"/>
  <c r="AQ13" i="353"/>
  <c r="AI13" i="353" a="1"/>
  <c r="AI13" i="353" s="1"/>
  <c r="AH13" i="353" a="1"/>
  <c r="AH13" i="353" s="1"/>
  <c r="A13" i="353"/>
  <c r="AQ12" i="353"/>
  <c r="AI12" i="353" a="1"/>
  <c r="AI12" i="353" s="1"/>
  <c r="AH12" i="353" a="1"/>
  <c r="AH12" i="353" s="1"/>
  <c r="A12" i="353"/>
  <c r="AQ11" i="353"/>
  <c r="AI11" i="353" a="1"/>
  <c r="AI11" i="353" s="1"/>
  <c r="AH11" i="353" a="1"/>
  <c r="AH11" i="353" s="1"/>
  <c r="A11" i="353"/>
  <c r="AQ10" i="353"/>
  <c r="AI10" i="353" a="1"/>
  <c r="AI10" i="353" s="1"/>
  <c r="AH10" i="353" a="1"/>
  <c r="AH10" i="353" s="1"/>
  <c r="A10" i="353"/>
  <c r="C4" i="353"/>
  <c r="L3" i="353"/>
  <c r="P7" i="353" s="1"/>
  <c r="P78" i="353" s="1"/>
  <c r="M1" i="353"/>
  <c r="AG88" i="352"/>
  <c r="AF88" i="352"/>
  <c r="AE88" i="352"/>
  <c r="AD88" i="352"/>
  <c r="AC88" i="352"/>
  <c r="AB88" i="352"/>
  <c r="AA88" i="352"/>
  <c r="Z88" i="352"/>
  <c r="Y88" i="352"/>
  <c r="X88" i="352"/>
  <c r="W88" i="352"/>
  <c r="V88" i="352"/>
  <c r="U88" i="352"/>
  <c r="T88" i="352"/>
  <c r="S88" i="352"/>
  <c r="R88" i="352"/>
  <c r="Q88" i="352"/>
  <c r="P88" i="352"/>
  <c r="O88" i="352"/>
  <c r="N88" i="352"/>
  <c r="M88" i="352"/>
  <c r="L88" i="352"/>
  <c r="K88" i="352"/>
  <c r="J88" i="352"/>
  <c r="I88" i="352"/>
  <c r="H88" i="352"/>
  <c r="G88" i="352"/>
  <c r="F88" i="352"/>
  <c r="E88" i="352"/>
  <c r="D88" i="352"/>
  <c r="C88" i="352"/>
  <c r="B88" i="352"/>
  <c r="AG87" i="352"/>
  <c r="AF87" i="352"/>
  <c r="AE87" i="352"/>
  <c r="AD87" i="352"/>
  <c r="AC87" i="352"/>
  <c r="AB87" i="352"/>
  <c r="AA87" i="352"/>
  <c r="Z87" i="352"/>
  <c r="Y87" i="352"/>
  <c r="X87" i="352"/>
  <c r="W87" i="352"/>
  <c r="V87" i="352"/>
  <c r="U87" i="352"/>
  <c r="T87" i="352"/>
  <c r="S87" i="352"/>
  <c r="R87" i="352"/>
  <c r="Q87" i="352"/>
  <c r="P87" i="352"/>
  <c r="O87" i="352"/>
  <c r="N87" i="352"/>
  <c r="M87" i="352"/>
  <c r="L87" i="352"/>
  <c r="K87" i="352"/>
  <c r="J87" i="352"/>
  <c r="I87" i="352"/>
  <c r="H87" i="352"/>
  <c r="G87" i="352"/>
  <c r="F87" i="352"/>
  <c r="E87" i="352"/>
  <c r="D87" i="352"/>
  <c r="C87" i="352"/>
  <c r="B87" i="352"/>
  <c r="AG86" i="352"/>
  <c r="AF86" i="352"/>
  <c r="AE86" i="352"/>
  <c r="AD86" i="352"/>
  <c r="AC86" i="352"/>
  <c r="AB86" i="352"/>
  <c r="AA86" i="352"/>
  <c r="Z86" i="352"/>
  <c r="Y86" i="352"/>
  <c r="X86" i="352"/>
  <c r="W86" i="352"/>
  <c r="V86" i="352"/>
  <c r="U86" i="352"/>
  <c r="T86" i="352"/>
  <c r="S86" i="352"/>
  <c r="R86" i="352"/>
  <c r="Q86" i="352"/>
  <c r="P86" i="352"/>
  <c r="O86" i="352"/>
  <c r="N86" i="352"/>
  <c r="M86" i="352"/>
  <c r="L86" i="352"/>
  <c r="K86" i="352"/>
  <c r="J86" i="352"/>
  <c r="I86" i="352"/>
  <c r="H86" i="352"/>
  <c r="G86" i="352"/>
  <c r="F86" i="352"/>
  <c r="E86" i="352"/>
  <c r="D86" i="352"/>
  <c r="C86" i="352"/>
  <c r="B86" i="352"/>
  <c r="AG85" i="352"/>
  <c r="AF85" i="352"/>
  <c r="AE85" i="352"/>
  <c r="AD85" i="352"/>
  <c r="AC85" i="352"/>
  <c r="AB85" i="352"/>
  <c r="AA85" i="352"/>
  <c r="Z85" i="352"/>
  <c r="Y85" i="352"/>
  <c r="X85" i="352"/>
  <c r="W85" i="352"/>
  <c r="V85" i="352"/>
  <c r="U85" i="352"/>
  <c r="T85" i="352"/>
  <c r="S85" i="352"/>
  <c r="R85" i="352"/>
  <c r="Q85" i="352"/>
  <c r="P85" i="352"/>
  <c r="O85" i="352"/>
  <c r="N85" i="352"/>
  <c r="M85" i="352"/>
  <c r="L85" i="352"/>
  <c r="K85" i="352"/>
  <c r="J85" i="352"/>
  <c r="I85" i="352"/>
  <c r="H85" i="352"/>
  <c r="G85" i="352"/>
  <c r="F85" i="352"/>
  <c r="E85" i="352"/>
  <c r="D85" i="352"/>
  <c r="C85" i="352"/>
  <c r="B85" i="352"/>
  <c r="AG84" i="352"/>
  <c r="AF84" i="352"/>
  <c r="AE84" i="352"/>
  <c r="AD84" i="352"/>
  <c r="AC84" i="352"/>
  <c r="AB84" i="352"/>
  <c r="AA84" i="352"/>
  <c r="Z84" i="352"/>
  <c r="Y84" i="352"/>
  <c r="X84" i="352"/>
  <c r="W84" i="352"/>
  <c r="V84" i="352"/>
  <c r="U84" i="352"/>
  <c r="T84" i="352"/>
  <c r="S84" i="352"/>
  <c r="R84" i="352"/>
  <c r="Q84" i="352"/>
  <c r="P84" i="352"/>
  <c r="O84" i="352"/>
  <c r="N84" i="352"/>
  <c r="M84" i="352"/>
  <c r="L84" i="352"/>
  <c r="K84" i="352"/>
  <c r="J84" i="352"/>
  <c r="I84" i="352"/>
  <c r="H84" i="352"/>
  <c r="G84" i="352"/>
  <c r="F84" i="352"/>
  <c r="E84" i="352"/>
  <c r="D84" i="352"/>
  <c r="C84" i="352"/>
  <c r="B84" i="352"/>
  <c r="AG83" i="352"/>
  <c r="AF83" i="352"/>
  <c r="AE83" i="352"/>
  <c r="AD83" i="352"/>
  <c r="AC83" i="352"/>
  <c r="AB83" i="352"/>
  <c r="AA83" i="352"/>
  <c r="Z83" i="352"/>
  <c r="Y83" i="352"/>
  <c r="X83" i="352"/>
  <c r="W83" i="352"/>
  <c r="V83" i="352"/>
  <c r="U83" i="352"/>
  <c r="T83" i="352"/>
  <c r="S83" i="352"/>
  <c r="R83" i="352"/>
  <c r="Q83" i="352"/>
  <c r="P83" i="352"/>
  <c r="O83" i="352"/>
  <c r="N83" i="352"/>
  <c r="M83" i="352"/>
  <c r="L83" i="352"/>
  <c r="K83" i="352"/>
  <c r="J83" i="352"/>
  <c r="I83" i="352"/>
  <c r="H83" i="352"/>
  <c r="G83" i="352"/>
  <c r="F83" i="352"/>
  <c r="E83" i="352"/>
  <c r="D83" i="352"/>
  <c r="C83" i="352"/>
  <c r="B83" i="352"/>
  <c r="AG82" i="352"/>
  <c r="AF82" i="352"/>
  <c r="AE82" i="352"/>
  <c r="AD82" i="352"/>
  <c r="AC82" i="352"/>
  <c r="AB82" i="352"/>
  <c r="AA82" i="352"/>
  <c r="Z82" i="352"/>
  <c r="Y82" i="352"/>
  <c r="X82" i="352"/>
  <c r="W82" i="352"/>
  <c r="V82" i="352"/>
  <c r="U82" i="352"/>
  <c r="T82" i="352"/>
  <c r="S82" i="352"/>
  <c r="R82" i="352"/>
  <c r="Q82" i="352"/>
  <c r="P82" i="352"/>
  <c r="O82" i="352"/>
  <c r="N82" i="352"/>
  <c r="M82" i="352"/>
  <c r="L82" i="352"/>
  <c r="K82" i="352"/>
  <c r="J82" i="352"/>
  <c r="I82" i="352"/>
  <c r="H82" i="352"/>
  <c r="G82" i="352"/>
  <c r="F82" i="352"/>
  <c r="E82" i="352"/>
  <c r="D82" i="352"/>
  <c r="C82" i="352"/>
  <c r="B82" i="352"/>
  <c r="AG81" i="352"/>
  <c r="AF81" i="352"/>
  <c r="AE81" i="352"/>
  <c r="AD81" i="352"/>
  <c r="AC81" i="352"/>
  <c r="AB81" i="352"/>
  <c r="AA81" i="352"/>
  <c r="Z81" i="352"/>
  <c r="Y81" i="352"/>
  <c r="X81" i="352"/>
  <c r="W81" i="352"/>
  <c r="V81" i="352"/>
  <c r="U81" i="352"/>
  <c r="T81" i="352"/>
  <c r="S81" i="352"/>
  <c r="R81" i="352"/>
  <c r="Q81" i="352"/>
  <c r="P81" i="352"/>
  <c r="O81" i="352"/>
  <c r="N81" i="352"/>
  <c r="M81" i="352"/>
  <c r="L81" i="352"/>
  <c r="K81" i="352"/>
  <c r="J81" i="352"/>
  <c r="I81" i="352"/>
  <c r="H81" i="352"/>
  <c r="G81" i="352"/>
  <c r="F81" i="352"/>
  <c r="E81" i="352"/>
  <c r="D81" i="352"/>
  <c r="C81" i="352"/>
  <c r="B81" i="352"/>
  <c r="AG80" i="352"/>
  <c r="AF80" i="352"/>
  <c r="AE80" i="352"/>
  <c r="AD80" i="352"/>
  <c r="AC80" i="352"/>
  <c r="AB80" i="352"/>
  <c r="AA80" i="352"/>
  <c r="Z80" i="352"/>
  <c r="Y80" i="352"/>
  <c r="X80" i="352"/>
  <c r="W80" i="352"/>
  <c r="V80" i="352"/>
  <c r="U80" i="352"/>
  <c r="T80" i="352"/>
  <c r="S80" i="352"/>
  <c r="R80" i="352"/>
  <c r="Q80" i="352"/>
  <c r="P80" i="352"/>
  <c r="O80" i="352"/>
  <c r="N80" i="352"/>
  <c r="M80" i="352"/>
  <c r="L80" i="352"/>
  <c r="K80" i="352"/>
  <c r="J80" i="352"/>
  <c r="I80" i="352"/>
  <c r="H80" i="352"/>
  <c r="G80" i="352"/>
  <c r="F80" i="352"/>
  <c r="E80" i="352"/>
  <c r="D80" i="352"/>
  <c r="C80" i="352"/>
  <c r="B80" i="352"/>
  <c r="AG79" i="352"/>
  <c r="AF79" i="352"/>
  <c r="AE79" i="352"/>
  <c r="AD79" i="352"/>
  <c r="AC79" i="352"/>
  <c r="AB79" i="352"/>
  <c r="AA79" i="352"/>
  <c r="Z79" i="352"/>
  <c r="Y79" i="352"/>
  <c r="X79" i="352"/>
  <c r="W79" i="352"/>
  <c r="V79" i="352"/>
  <c r="U79" i="352"/>
  <c r="T79" i="352"/>
  <c r="S79" i="352"/>
  <c r="R79" i="352"/>
  <c r="Q79" i="352"/>
  <c r="P79" i="352"/>
  <c r="O79" i="352"/>
  <c r="N79" i="352"/>
  <c r="M79" i="352"/>
  <c r="L79" i="352"/>
  <c r="K79" i="352"/>
  <c r="J79" i="352"/>
  <c r="I79" i="352"/>
  <c r="H79" i="352"/>
  <c r="G79" i="352"/>
  <c r="F79" i="352"/>
  <c r="E79" i="352"/>
  <c r="D79" i="352"/>
  <c r="C79" i="352"/>
  <c r="B79" i="352"/>
  <c r="AB58" i="352"/>
  <c r="AN50" i="352"/>
  <c r="AQ49" i="352"/>
  <c r="AI49" i="352" a="1"/>
  <c r="AI49" i="352" s="1"/>
  <c r="AH49" i="352" a="1"/>
  <c r="AH49" i="352" s="1"/>
  <c r="A49" i="352"/>
  <c r="AQ48" i="352"/>
  <c r="AI48" i="352" a="1"/>
  <c r="AI48" i="352" s="1"/>
  <c r="AH48" i="352" a="1"/>
  <c r="AH48" i="352" s="1"/>
  <c r="A48" i="352"/>
  <c r="AQ47" i="352"/>
  <c r="AI47" i="352" a="1"/>
  <c r="AI47" i="352" s="1"/>
  <c r="AH47" i="352" a="1"/>
  <c r="AH47" i="352" s="1"/>
  <c r="A47" i="352"/>
  <c r="AQ46" i="352"/>
  <c r="AI46" i="352" a="1"/>
  <c r="AI46" i="352" s="1"/>
  <c r="AH46" i="352" a="1"/>
  <c r="AH46" i="352" s="1"/>
  <c r="A46" i="352"/>
  <c r="AQ45" i="352"/>
  <c r="AI45" i="352" a="1"/>
  <c r="AI45" i="352" s="1"/>
  <c r="AH45" i="352" a="1"/>
  <c r="AH45" i="352" s="1"/>
  <c r="A45" i="352"/>
  <c r="AQ44" i="352"/>
  <c r="AI44" i="352" a="1"/>
  <c r="AI44" i="352" s="1"/>
  <c r="AH44" i="352" a="1"/>
  <c r="AH44" i="352" s="1"/>
  <c r="A44" i="352"/>
  <c r="AQ43" i="352"/>
  <c r="AI43" i="352" a="1"/>
  <c r="AI43" i="352" s="1"/>
  <c r="AH43" i="352" a="1"/>
  <c r="AH43" i="352" s="1"/>
  <c r="A43" i="352"/>
  <c r="AQ42" i="352"/>
  <c r="AI42" i="352" a="1"/>
  <c r="AI42" i="352" s="1"/>
  <c r="AH42" i="352" a="1"/>
  <c r="AH42" i="352" s="1"/>
  <c r="A42" i="352"/>
  <c r="AQ41" i="352"/>
  <c r="AI41" i="352" a="1"/>
  <c r="AI41" i="352" s="1"/>
  <c r="AH41" i="352" a="1"/>
  <c r="AH41" i="352" s="1"/>
  <c r="A41" i="352"/>
  <c r="AQ40" i="352"/>
  <c r="AI40" i="352" a="1"/>
  <c r="AI40" i="352" s="1"/>
  <c r="AH40" i="352" a="1"/>
  <c r="AH40" i="352" s="1"/>
  <c r="A40" i="352"/>
  <c r="AQ39" i="352"/>
  <c r="AI39" i="352" a="1"/>
  <c r="AI39" i="352" s="1"/>
  <c r="AH39" i="352" a="1"/>
  <c r="AH39" i="352" s="1"/>
  <c r="A39" i="352"/>
  <c r="AQ38" i="352"/>
  <c r="AI38" i="352" a="1"/>
  <c r="AI38" i="352" s="1"/>
  <c r="AH38" i="352" a="1"/>
  <c r="AH38" i="352" s="1"/>
  <c r="A38" i="352"/>
  <c r="AQ37" i="352"/>
  <c r="AI37" i="352" a="1"/>
  <c r="AI37" i="352" s="1"/>
  <c r="AH37" i="352" a="1"/>
  <c r="AH37" i="352" s="1"/>
  <c r="A37" i="352"/>
  <c r="AQ36" i="352"/>
  <c r="AI36" i="352" a="1"/>
  <c r="AI36" i="352" s="1"/>
  <c r="AH36" i="352" a="1"/>
  <c r="AH36" i="352" s="1"/>
  <c r="A36" i="352"/>
  <c r="AQ35" i="352"/>
  <c r="AI35" i="352" a="1"/>
  <c r="AI35" i="352" s="1"/>
  <c r="AH35" i="352" a="1"/>
  <c r="AH35" i="352" s="1"/>
  <c r="A35" i="352"/>
  <c r="AQ34" i="352"/>
  <c r="AI34" i="352" a="1"/>
  <c r="AI34" i="352" s="1"/>
  <c r="AH34" i="352" a="1"/>
  <c r="AH34" i="352" s="1"/>
  <c r="A34" i="352"/>
  <c r="AQ33" i="352"/>
  <c r="AI33" i="352" a="1"/>
  <c r="AI33" i="352" s="1"/>
  <c r="AH33" i="352" a="1"/>
  <c r="AH33" i="352" s="1"/>
  <c r="A33" i="352"/>
  <c r="AQ32" i="352"/>
  <c r="AI32" i="352" a="1"/>
  <c r="AI32" i="352" s="1"/>
  <c r="AH32" i="352" a="1"/>
  <c r="AH32" i="352" s="1"/>
  <c r="A32" i="352"/>
  <c r="AQ31" i="352"/>
  <c r="AI31" i="352" a="1"/>
  <c r="AI31" i="352" s="1"/>
  <c r="AH31" i="352" a="1"/>
  <c r="AH31" i="352" s="1"/>
  <c r="A31" i="352"/>
  <c r="AQ30" i="352"/>
  <c r="AI30" i="352" a="1"/>
  <c r="AI30" i="352" s="1"/>
  <c r="AH30" i="352" a="1"/>
  <c r="AH30" i="352" s="1"/>
  <c r="A30" i="352"/>
  <c r="AQ29" i="352"/>
  <c r="AI29" i="352" a="1"/>
  <c r="AI29" i="352" s="1"/>
  <c r="AH29" i="352" a="1"/>
  <c r="AH29" i="352" s="1"/>
  <c r="A29" i="352"/>
  <c r="AQ28" i="352"/>
  <c r="AI28" i="352" a="1"/>
  <c r="AI28" i="352" s="1"/>
  <c r="AH28" i="352" a="1"/>
  <c r="AH28" i="352" s="1"/>
  <c r="A28" i="352"/>
  <c r="AQ27" i="352"/>
  <c r="AI27" i="352" a="1"/>
  <c r="AI27" i="352" s="1"/>
  <c r="AH27" i="352" a="1"/>
  <c r="AH27" i="352" s="1"/>
  <c r="A27" i="352"/>
  <c r="AQ26" i="352"/>
  <c r="AI26" i="352" a="1"/>
  <c r="AI26" i="352" s="1"/>
  <c r="AH26" i="352" a="1"/>
  <c r="AH26" i="352" s="1"/>
  <c r="A26" i="352"/>
  <c r="AQ25" i="352"/>
  <c r="AI25" i="352" a="1"/>
  <c r="AI25" i="352" s="1"/>
  <c r="AH25" i="352" a="1"/>
  <c r="AH25" i="352" s="1"/>
  <c r="A25" i="352"/>
  <c r="AQ24" i="352"/>
  <c r="AI24" i="352" a="1"/>
  <c r="AI24" i="352" s="1"/>
  <c r="AH24" i="352" a="1"/>
  <c r="AH24" i="352" s="1"/>
  <c r="A24" i="352"/>
  <c r="AQ23" i="352"/>
  <c r="AI23" i="352" a="1"/>
  <c r="AI23" i="352" s="1"/>
  <c r="AH23" i="352" a="1"/>
  <c r="AH23" i="352" s="1"/>
  <c r="A23" i="352"/>
  <c r="AQ22" i="352"/>
  <c r="AI22" i="352" a="1"/>
  <c r="AI22" i="352" s="1"/>
  <c r="AH22" i="352" a="1"/>
  <c r="AH22" i="352" s="1"/>
  <c r="A22" i="352"/>
  <c r="AQ21" i="352"/>
  <c r="AI21" i="352" a="1"/>
  <c r="AI21" i="352" s="1"/>
  <c r="AH21" i="352" a="1"/>
  <c r="AH21" i="352" s="1"/>
  <c r="A21" i="352"/>
  <c r="AQ20" i="352"/>
  <c r="AI20" i="352" a="1"/>
  <c r="AI20" i="352" s="1"/>
  <c r="AH20" i="352" a="1"/>
  <c r="AH20" i="352" s="1"/>
  <c r="A20" i="352"/>
  <c r="AQ19" i="352"/>
  <c r="AI19" i="352" a="1"/>
  <c r="AI19" i="352" s="1"/>
  <c r="AH19" i="352" a="1"/>
  <c r="AH19" i="352" s="1"/>
  <c r="A19" i="352"/>
  <c r="AQ18" i="352"/>
  <c r="AI18" i="352" a="1"/>
  <c r="AI18" i="352" s="1"/>
  <c r="AH18" i="352" a="1"/>
  <c r="AH18" i="352" s="1"/>
  <c r="A18" i="352"/>
  <c r="AQ17" i="352"/>
  <c r="AI17" i="352" a="1"/>
  <c r="AI17" i="352" s="1"/>
  <c r="AH17" i="352" a="1"/>
  <c r="AH17" i="352" s="1"/>
  <c r="A17" i="352"/>
  <c r="AQ16" i="352"/>
  <c r="AI16" i="352" a="1"/>
  <c r="AI16" i="352" s="1"/>
  <c r="AH16" i="352" a="1"/>
  <c r="AH16" i="352" s="1"/>
  <c r="A16" i="352"/>
  <c r="AQ15" i="352"/>
  <c r="AI15" i="352" a="1"/>
  <c r="AI15" i="352" s="1"/>
  <c r="AH15" i="352" a="1"/>
  <c r="AH15" i="352" s="1"/>
  <c r="A15" i="352"/>
  <c r="AQ14" i="352"/>
  <c r="AI14" i="352" a="1"/>
  <c r="AI14" i="352" s="1"/>
  <c r="AH14" i="352" a="1"/>
  <c r="AH14" i="352" s="1"/>
  <c r="A14" i="352"/>
  <c r="AQ13" i="352"/>
  <c r="AI13" i="352" a="1"/>
  <c r="AI13" i="352" s="1"/>
  <c r="AH13" i="352" a="1"/>
  <c r="AH13" i="352" s="1"/>
  <c r="A13" i="352"/>
  <c r="AQ12" i="352"/>
  <c r="AI12" i="352" a="1"/>
  <c r="AI12" i="352" s="1"/>
  <c r="AH12" i="352" a="1"/>
  <c r="AH12" i="352" s="1"/>
  <c r="A12" i="352"/>
  <c r="AQ11" i="352"/>
  <c r="AI11" i="352" a="1"/>
  <c r="AI11" i="352" s="1"/>
  <c r="AH11" i="352" a="1"/>
  <c r="AH11" i="352" s="1"/>
  <c r="A11" i="352"/>
  <c r="AQ10" i="352"/>
  <c r="AI10" i="352" a="1"/>
  <c r="AI10" i="352" s="1"/>
  <c r="AH10" i="352" a="1"/>
  <c r="AH10" i="352" s="1"/>
  <c r="A10" i="352"/>
  <c r="V6" i="352"/>
  <c r="V8" i="352" s="1"/>
  <c r="C4" i="352"/>
  <c r="L3" i="352"/>
  <c r="W7" i="352" s="1"/>
  <c r="W78" i="352" s="1"/>
  <c r="M1" i="352"/>
  <c r="I7" i="1"/>
  <c r="AG88" i="330"/>
  <c r="AF88" i="330"/>
  <c r="AE88" i="330"/>
  <c r="AD88" i="330"/>
  <c r="AC88" i="330"/>
  <c r="AB88" i="330"/>
  <c r="AA88" i="330"/>
  <c r="Z88" i="330"/>
  <c r="Y88" i="330"/>
  <c r="X88" i="330"/>
  <c r="W88" i="330"/>
  <c r="V88" i="330"/>
  <c r="U88" i="330"/>
  <c r="T88" i="330"/>
  <c r="S88" i="330"/>
  <c r="R88" i="330"/>
  <c r="Q88" i="330"/>
  <c r="P88" i="330"/>
  <c r="O88" i="330"/>
  <c r="N88" i="330"/>
  <c r="M88" i="330"/>
  <c r="L88" i="330"/>
  <c r="K88" i="330"/>
  <c r="J88" i="330"/>
  <c r="I88" i="330"/>
  <c r="H88" i="330"/>
  <c r="G88" i="330"/>
  <c r="F88" i="330"/>
  <c r="E88" i="330"/>
  <c r="D88" i="330"/>
  <c r="C88" i="330"/>
  <c r="B88" i="330"/>
  <c r="AG87" i="330"/>
  <c r="AF87" i="330"/>
  <c r="AE87" i="330"/>
  <c r="AD87" i="330"/>
  <c r="AC87" i="330"/>
  <c r="AB87" i="330"/>
  <c r="AA87" i="330"/>
  <c r="Z87" i="330"/>
  <c r="Y87" i="330"/>
  <c r="X87" i="330"/>
  <c r="W87" i="330"/>
  <c r="V87" i="330"/>
  <c r="U87" i="330"/>
  <c r="T87" i="330"/>
  <c r="S87" i="330"/>
  <c r="R87" i="330"/>
  <c r="Q87" i="330"/>
  <c r="P87" i="330"/>
  <c r="O87" i="330"/>
  <c r="N87" i="330"/>
  <c r="M87" i="330"/>
  <c r="L87" i="330"/>
  <c r="K87" i="330"/>
  <c r="J87" i="330"/>
  <c r="I87" i="330"/>
  <c r="H87" i="330"/>
  <c r="G87" i="330"/>
  <c r="F87" i="330"/>
  <c r="E87" i="330"/>
  <c r="D87" i="330"/>
  <c r="C87" i="330"/>
  <c r="B87" i="330"/>
  <c r="AG86" i="330"/>
  <c r="AF86" i="330"/>
  <c r="AE86" i="330"/>
  <c r="AD86" i="330"/>
  <c r="AC86" i="330"/>
  <c r="AB86" i="330"/>
  <c r="AA86" i="330"/>
  <c r="Z86" i="330"/>
  <c r="Y86" i="330"/>
  <c r="X86" i="330"/>
  <c r="W86" i="330"/>
  <c r="V86" i="330"/>
  <c r="U86" i="330"/>
  <c r="T86" i="330"/>
  <c r="S86" i="330"/>
  <c r="R86" i="330"/>
  <c r="Q86" i="330"/>
  <c r="P86" i="330"/>
  <c r="O86" i="330"/>
  <c r="N86" i="330"/>
  <c r="M86" i="330"/>
  <c r="L86" i="330"/>
  <c r="K86" i="330"/>
  <c r="J86" i="330"/>
  <c r="I86" i="330"/>
  <c r="H86" i="330"/>
  <c r="G86" i="330"/>
  <c r="F86" i="330"/>
  <c r="E86" i="330"/>
  <c r="D86" i="330"/>
  <c r="C86" i="330"/>
  <c r="B86" i="330"/>
  <c r="AG85" i="330"/>
  <c r="AF85" i="330"/>
  <c r="AE85" i="330"/>
  <c r="AD85" i="330"/>
  <c r="AC85" i="330"/>
  <c r="AB85" i="330"/>
  <c r="AA85" i="330"/>
  <c r="Z85" i="330"/>
  <c r="Y85" i="330"/>
  <c r="X85" i="330"/>
  <c r="W85" i="330"/>
  <c r="V85" i="330"/>
  <c r="U85" i="330"/>
  <c r="T85" i="330"/>
  <c r="S85" i="330"/>
  <c r="R85" i="330"/>
  <c r="Q85" i="330"/>
  <c r="P85" i="330"/>
  <c r="O85" i="330"/>
  <c r="N85" i="330"/>
  <c r="M85" i="330"/>
  <c r="L85" i="330"/>
  <c r="K85" i="330"/>
  <c r="J85" i="330"/>
  <c r="I85" i="330"/>
  <c r="H85" i="330"/>
  <c r="G85" i="330"/>
  <c r="F85" i="330"/>
  <c r="E85" i="330"/>
  <c r="D85" i="330"/>
  <c r="C85" i="330"/>
  <c r="B85" i="330"/>
  <c r="AG84" i="330"/>
  <c r="AF84" i="330"/>
  <c r="AE84" i="330"/>
  <c r="AD84" i="330"/>
  <c r="AC84" i="330"/>
  <c r="AB84" i="330"/>
  <c r="AA84" i="330"/>
  <c r="Z84" i="330"/>
  <c r="Y84" i="330"/>
  <c r="X84" i="330"/>
  <c r="W84" i="330"/>
  <c r="V84" i="330"/>
  <c r="U84" i="330"/>
  <c r="T84" i="330"/>
  <c r="S84" i="330"/>
  <c r="R84" i="330"/>
  <c r="Q84" i="330"/>
  <c r="P84" i="330"/>
  <c r="O84" i="330"/>
  <c r="N84" i="330"/>
  <c r="M84" i="330"/>
  <c r="L84" i="330"/>
  <c r="K84" i="330"/>
  <c r="J84" i="330"/>
  <c r="I84" i="330"/>
  <c r="H84" i="330"/>
  <c r="G84" i="330"/>
  <c r="F84" i="330"/>
  <c r="E84" i="330"/>
  <c r="D84" i="330"/>
  <c r="C84" i="330"/>
  <c r="B84" i="330"/>
  <c r="AG83" i="330"/>
  <c r="AF83" i="330"/>
  <c r="AE83" i="330"/>
  <c r="AD83" i="330"/>
  <c r="AC83" i="330"/>
  <c r="AB83" i="330"/>
  <c r="AA83" i="330"/>
  <c r="Z83" i="330"/>
  <c r="Y83" i="330"/>
  <c r="X83" i="330"/>
  <c r="W83" i="330"/>
  <c r="V83" i="330"/>
  <c r="U83" i="330"/>
  <c r="T83" i="330"/>
  <c r="S83" i="330"/>
  <c r="R83" i="330"/>
  <c r="Q83" i="330"/>
  <c r="P83" i="330"/>
  <c r="O83" i="330"/>
  <c r="N83" i="330"/>
  <c r="M83" i="330"/>
  <c r="L83" i="330"/>
  <c r="K83" i="330"/>
  <c r="J83" i="330"/>
  <c r="I83" i="330"/>
  <c r="H83" i="330"/>
  <c r="G83" i="330"/>
  <c r="F83" i="330"/>
  <c r="E83" i="330"/>
  <c r="D83" i="330"/>
  <c r="C83" i="330"/>
  <c r="B83" i="330"/>
  <c r="AG82" i="330"/>
  <c r="AF82" i="330"/>
  <c r="AE82" i="330"/>
  <c r="AD82" i="330"/>
  <c r="AC82" i="330"/>
  <c r="AB82" i="330"/>
  <c r="AA82" i="330"/>
  <c r="Z82" i="330"/>
  <c r="Y82" i="330"/>
  <c r="X82" i="330"/>
  <c r="W82" i="330"/>
  <c r="V82" i="330"/>
  <c r="U82" i="330"/>
  <c r="T82" i="330"/>
  <c r="S82" i="330"/>
  <c r="R82" i="330"/>
  <c r="Q82" i="330"/>
  <c r="P82" i="330"/>
  <c r="O82" i="330"/>
  <c r="N82" i="330"/>
  <c r="M82" i="330"/>
  <c r="L82" i="330"/>
  <c r="K82" i="330"/>
  <c r="J82" i="330"/>
  <c r="I82" i="330"/>
  <c r="H82" i="330"/>
  <c r="G82" i="330"/>
  <c r="F82" i="330"/>
  <c r="E82" i="330"/>
  <c r="D82" i="330"/>
  <c r="C82" i="330"/>
  <c r="B82" i="330"/>
  <c r="AG81" i="330"/>
  <c r="AF81" i="330"/>
  <c r="AE81" i="330"/>
  <c r="AD81" i="330"/>
  <c r="AC81" i="330"/>
  <c r="AB81" i="330"/>
  <c r="AA81" i="330"/>
  <c r="Z81" i="330"/>
  <c r="Y81" i="330"/>
  <c r="X81" i="330"/>
  <c r="W81" i="330"/>
  <c r="V81" i="330"/>
  <c r="U81" i="330"/>
  <c r="T81" i="330"/>
  <c r="S81" i="330"/>
  <c r="R81" i="330"/>
  <c r="Q81" i="330"/>
  <c r="P81" i="330"/>
  <c r="O81" i="330"/>
  <c r="N81" i="330"/>
  <c r="M81" i="330"/>
  <c r="L81" i="330"/>
  <c r="K81" i="330"/>
  <c r="J81" i="330"/>
  <c r="I81" i="330"/>
  <c r="H81" i="330"/>
  <c r="G81" i="330"/>
  <c r="F81" i="330"/>
  <c r="E81" i="330"/>
  <c r="D81" i="330"/>
  <c r="C81" i="330"/>
  <c r="B81" i="330"/>
  <c r="AG80" i="330"/>
  <c r="AF80" i="330"/>
  <c r="AE80" i="330"/>
  <c r="AD80" i="330"/>
  <c r="AC80" i="330"/>
  <c r="AB80" i="330"/>
  <c r="AA80" i="330"/>
  <c r="Z80" i="330"/>
  <c r="Y80" i="330"/>
  <c r="X80" i="330"/>
  <c r="W80" i="330"/>
  <c r="V80" i="330"/>
  <c r="U80" i="330"/>
  <c r="T80" i="330"/>
  <c r="S80" i="330"/>
  <c r="R80" i="330"/>
  <c r="Q80" i="330"/>
  <c r="P80" i="330"/>
  <c r="O80" i="330"/>
  <c r="N80" i="330"/>
  <c r="M80" i="330"/>
  <c r="L80" i="330"/>
  <c r="K80" i="330"/>
  <c r="J80" i="330"/>
  <c r="I80" i="330"/>
  <c r="H80" i="330"/>
  <c r="G80" i="330"/>
  <c r="F80" i="330"/>
  <c r="E80" i="330"/>
  <c r="D80" i="330"/>
  <c r="C80" i="330"/>
  <c r="B80" i="330"/>
  <c r="AG79" i="330"/>
  <c r="AF79" i="330"/>
  <c r="AE79" i="330"/>
  <c r="AD79" i="330"/>
  <c r="AC79" i="330"/>
  <c r="AB79" i="330"/>
  <c r="AA79" i="330"/>
  <c r="Z79" i="330"/>
  <c r="Y79" i="330"/>
  <c r="X79" i="330"/>
  <c r="W79" i="330"/>
  <c r="V79" i="330"/>
  <c r="U79" i="330"/>
  <c r="T79" i="330"/>
  <c r="S79" i="330"/>
  <c r="R79" i="330"/>
  <c r="Q79" i="330"/>
  <c r="P79" i="330"/>
  <c r="O79" i="330"/>
  <c r="N79" i="330"/>
  <c r="M79" i="330"/>
  <c r="L79" i="330"/>
  <c r="K79" i="330"/>
  <c r="J79" i="330"/>
  <c r="I79" i="330"/>
  <c r="H79" i="330"/>
  <c r="G79" i="330"/>
  <c r="F79" i="330"/>
  <c r="E79" i="330"/>
  <c r="D79" i="330"/>
  <c r="C79" i="330"/>
  <c r="B79" i="330"/>
  <c r="AB58" i="330"/>
  <c r="AN50" i="330"/>
  <c r="AQ49" i="330"/>
  <c r="AI49" i="330" a="1"/>
  <c r="AI49" i="330" s="1"/>
  <c r="AH49" i="330" a="1"/>
  <c r="AH49" i="330" s="1"/>
  <c r="A49" i="330"/>
  <c r="AQ48" i="330"/>
  <c r="AI48" i="330" a="1"/>
  <c r="AI48" i="330" s="1"/>
  <c r="AH48" i="330" a="1"/>
  <c r="AH48" i="330" s="1"/>
  <c r="A48" i="330"/>
  <c r="AQ47" i="330"/>
  <c r="AI47" i="330" a="1"/>
  <c r="AI47" i="330" s="1"/>
  <c r="AH47" i="330" a="1"/>
  <c r="AH47" i="330" s="1"/>
  <c r="A47" i="330"/>
  <c r="AQ46" i="330"/>
  <c r="AI46" i="330" a="1"/>
  <c r="AI46" i="330" s="1"/>
  <c r="AH46" i="330" a="1"/>
  <c r="AH46" i="330" s="1"/>
  <c r="A46" i="330"/>
  <c r="AQ45" i="330"/>
  <c r="AI45" i="330" a="1"/>
  <c r="AI45" i="330" s="1"/>
  <c r="AH45" i="330" a="1"/>
  <c r="AH45" i="330" s="1"/>
  <c r="A45" i="330"/>
  <c r="AQ44" i="330"/>
  <c r="AI44" i="330" a="1"/>
  <c r="AI44" i="330" s="1"/>
  <c r="AH44" i="330" a="1"/>
  <c r="AH44" i="330" s="1"/>
  <c r="A44" i="330"/>
  <c r="AQ43" i="330"/>
  <c r="AI43" i="330" a="1"/>
  <c r="AI43" i="330" s="1"/>
  <c r="AH43" i="330" a="1"/>
  <c r="AH43" i="330" s="1"/>
  <c r="A43" i="330"/>
  <c r="AQ42" i="330"/>
  <c r="AI42" i="330" a="1"/>
  <c r="AI42" i="330" s="1"/>
  <c r="AH42" i="330" a="1"/>
  <c r="AH42" i="330" s="1"/>
  <c r="A42" i="330"/>
  <c r="AQ41" i="330"/>
  <c r="AI41" i="330" a="1"/>
  <c r="AI41" i="330" s="1"/>
  <c r="AH41" i="330" a="1"/>
  <c r="AH41" i="330" s="1"/>
  <c r="A41" i="330"/>
  <c r="AQ40" i="330"/>
  <c r="AI40" i="330" a="1"/>
  <c r="AI40" i="330" s="1"/>
  <c r="AH40" i="330" a="1"/>
  <c r="AH40" i="330" s="1"/>
  <c r="A40" i="330"/>
  <c r="AQ39" i="330"/>
  <c r="AI39" i="330" a="1"/>
  <c r="AI39" i="330" s="1"/>
  <c r="AH39" i="330" a="1"/>
  <c r="AH39" i="330" s="1"/>
  <c r="A39" i="330"/>
  <c r="AQ38" i="330"/>
  <c r="AI38" i="330" a="1"/>
  <c r="AI38" i="330" s="1"/>
  <c r="AH38" i="330" a="1"/>
  <c r="AH38" i="330" s="1"/>
  <c r="A38" i="330"/>
  <c r="AQ37" i="330"/>
  <c r="AI37" i="330" a="1"/>
  <c r="AI37" i="330" s="1"/>
  <c r="AH37" i="330" a="1"/>
  <c r="AH37" i="330" s="1"/>
  <c r="A37" i="330"/>
  <c r="AQ36" i="330"/>
  <c r="AI36" i="330" a="1"/>
  <c r="AI36" i="330" s="1"/>
  <c r="AH36" i="330" a="1"/>
  <c r="AH36" i="330" s="1"/>
  <c r="A36" i="330"/>
  <c r="AQ35" i="330"/>
  <c r="AI35" i="330" a="1"/>
  <c r="AI35" i="330" s="1"/>
  <c r="AH35" i="330" a="1"/>
  <c r="AH35" i="330" s="1"/>
  <c r="A35" i="330"/>
  <c r="AQ34" i="330"/>
  <c r="AI34" i="330" a="1"/>
  <c r="AI34" i="330" s="1"/>
  <c r="AH34" i="330" a="1"/>
  <c r="AH34" i="330" s="1"/>
  <c r="A34" i="330"/>
  <c r="AQ33" i="330"/>
  <c r="AI33" i="330" a="1"/>
  <c r="AI33" i="330" s="1"/>
  <c r="AH33" i="330" a="1"/>
  <c r="AH33" i="330" s="1"/>
  <c r="A33" i="330"/>
  <c r="AQ32" i="330"/>
  <c r="AI32" i="330" a="1"/>
  <c r="AI32" i="330" s="1"/>
  <c r="AH32" i="330" a="1"/>
  <c r="AH32" i="330" s="1"/>
  <c r="A32" i="330"/>
  <c r="AQ31" i="330"/>
  <c r="AI31" i="330" a="1"/>
  <c r="AI31" i="330" s="1"/>
  <c r="AH31" i="330" a="1"/>
  <c r="AH31" i="330" s="1"/>
  <c r="A31" i="330"/>
  <c r="AQ30" i="330"/>
  <c r="AI30" i="330" a="1"/>
  <c r="AI30" i="330" s="1"/>
  <c r="AH30" i="330" a="1"/>
  <c r="AH30" i="330" s="1"/>
  <c r="A30" i="330"/>
  <c r="AQ29" i="330"/>
  <c r="AI29" i="330" a="1"/>
  <c r="AI29" i="330" s="1"/>
  <c r="AH29" i="330" a="1"/>
  <c r="AH29" i="330" s="1"/>
  <c r="A29" i="330"/>
  <c r="AQ28" i="330"/>
  <c r="AI28" i="330" a="1"/>
  <c r="AI28" i="330" s="1"/>
  <c r="AH28" i="330" a="1"/>
  <c r="AH28" i="330" s="1"/>
  <c r="A28" i="330"/>
  <c r="AQ27" i="330"/>
  <c r="AI27" i="330" a="1"/>
  <c r="AI27" i="330" s="1"/>
  <c r="AH27" i="330" a="1"/>
  <c r="AH27" i="330" s="1"/>
  <c r="A27" i="330"/>
  <c r="AQ26" i="330"/>
  <c r="AI26" i="330" a="1"/>
  <c r="AI26" i="330" s="1"/>
  <c r="AH26" i="330" a="1"/>
  <c r="AH26" i="330" s="1"/>
  <c r="A26" i="330"/>
  <c r="AQ25" i="330"/>
  <c r="AI25" i="330" a="1"/>
  <c r="AI25" i="330" s="1"/>
  <c r="AH25" i="330" a="1"/>
  <c r="AH25" i="330" s="1"/>
  <c r="A25" i="330"/>
  <c r="AQ24" i="330"/>
  <c r="AI24" i="330" a="1"/>
  <c r="AI24" i="330" s="1"/>
  <c r="AH24" i="330" a="1"/>
  <c r="AH24" i="330" s="1"/>
  <c r="A24" i="330"/>
  <c r="AQ23" i="330"/>
  <c r="AI23" i="330" a="1"/>
  <c r="AI23" i="330" s="1"/>
  <c r="AH23" i="330" a="1"/>
  <c r="AH23" i="330" s="1"/>
  <c r="A23" i="330"/>
  <c r="AQ22" i="330"/>
  <c r="AI22" i="330" a="1"/>
  <c r="AI22" i="330" s="1"/>
  <c r="AH22" i="330" a="1"/>
  <c r="AH22" i="330" s="1"/>
  <c r="A22" i="330"/>
  <c r="AQ21" i="330"/>
  <c r="AI21" i="330" a="1"/>
  <c r="AI21" i="330" s="1"/>
  <c r="AH21" i="330" a="1"/>
  <c r="AH21" i="330" s="1"/>
  <c r="A21" i="330"/>
  <c r="AQ20" i="330"/>
  <c r="AI20" i="330" a="1"/>
  <c r="AI20" i="330" s="1"/>
  <c r="AH20" i="330" a="1"/>
  <c r="AH20" i="330" s="1"/>
  <c r="A20" i="330"/>
  <c r="AQ19" i="330"/>
  <c r="AI19" i="330" a="1"/>
  <c r="AI19" i="330" s="1"/>
  <c r="AH19" i="330" a="1"/>
  <c r="AH19" i="330" s="1"/>
  <c r="A19" i="330"/>
  <c r="AQ18" i="330"/>
  <c r="AI18" i="330" a="1"/>
  <c r="AI18" i="330" s="1"/>
  <c r="AH18" i="330" a="1"/>
  <c r="AH18" i="330" s="1"/>
  <c r="A18" i="330"/>
  <c r="AQ17" i="330"/>
  <c r="AI17" i="330" a="1"/>
  <c r="AI17" i="330" s="1"/>
  <c r="AH17" i="330" a="1"/>
  <c r="AH17" i="330" s="1"/>
  <c r="A17" i="330"/>
  <c r="AQ16" i="330"/>
  <c r="AI16" i="330" a="1"/>
  <c r="AI16" i="330" s="1"/>
  <c r="AH16" i="330" a="1"/>
  <c r="AH16" i="330" s="1"/>
  <c r="A16" i="330"/>
  <c r="AQ15" i="330"/>
  <c r="AI15" i="330" a="1"/>
  <c r="AI15" i="330" s="1"/>
  <c r="AH15" i="330" a="1"/>
  <c r="AH15" i="330" s="1"/>
  <c r="A15" i="330"/>
  <c r="AQ14" i="330"/>
  <c r="AI14" i="330" a="1"/>
  <c r="AI14" i="330" s="1"/>
  <c r="AH14" i="330" a="1"/>
  <c r="AH14" i="330" s="1"/>
  <c r="A14" i="330"/>
  <c r="AQ13" i="330"/>
  <c r="AI13" i="330" a="1"/>
  <c r="AI13" i="330" s="1"/>
  <c r="AH13" i="330" a="1"/>
  <c r="AH13" i="330" s="1"/>
  <c r="A13" i="330"/>
  <c r="AQ12" i="330"/>
  <c r="AI12" i="330" a="1"/>
  <c r="AI12" i="330" s="1"/>
  <c r="AH12" i="330" a="1"/>
  <c r="AH12" i="330" s="1"/>
  <c r="A12" i="330"/>
  <c r="AQ11" i="330"/>
  <c r="AI11" i="330" a="1"/>
  <c r="AI11" i="330" s="1"/>
  <c r="AH11" i="330" a="1"/>
  <c r="AH11" i="330" s="1"/>
  <c r="A11" i="330"/>
  <c r="AQ10" i="330"/>
  <c r="AI10" i="330" a="1"/>
  <c r="AI10" i="330" s="1"/>
  <c r="AH10" i="330" a="1"/>
  <c r="AH10" i="330" s="1"/>
  <c r="A10" i="330"/>
  <c r="C4" i="330"/>
  <c r="L3" i="330"/>
  <c r="P7" i="330" s="1"/>
  <c r="P78" i="330" s="1"/>
  <c r="M1" i="330"/>
  <c r="AF7" i="355" l="1"/>
  <c r="AF78" i="355" s="1"/>
  <c r="H6" i="354"/>
  <c r="H8" i="354" s="1"/>
  <c r="I7" i="357"/>
  <c r="I78" i="357" s="1"/>
  <c r="P6" i="354"/>
  <c r="P8" i="354" s="1"/>
  <c r="R6" i="354"/>
  <c r="R8" i="354" s="1"/>
  <c r="AG6" i="352"/>
  <c r="AA6" i="354"/>
  <c r="C7" i="352"/>
  <c r="C78" i="352" s="1"/>
  <c r="M7" i="354"/>
  <c r="M78" i="354" s="1"/>
  <c r="I6" i="356"/>
  <c r="I8" i="356" s="1"/>
  <c r="P6" i="360"/>
  <c r="O6" i="362"/>
  <c r="R6" i="360"/>
  <c r="R8" i="360" s="1"/>
  <c r="Q6" i="362"/>
  <c r="Q8" i="362" s="1"/>
  <c r="U6" i="360"/>
  <c r="U8" i="360" s="1"/>
  <c r="G7" i="362"/>
  <c r="G78" i="362" s="1"/>
  <c r="L7" i="360"/>
  <c r="L78" i="360" s="1"/>
  <c r="J7" i="362"/>
  <c r="J78" i="362" s="1"/>
  <c r="N7" i="360"/>
  <c r="N78" i="360" s="1"/>
  <c r="AD7" i="362"/>
  <c r="AD78" i="362" s="1"/>
  <c r="X6" i="330"/>
  <c r="AF7" i="354"/>
  <c r="AF78" i="354" s="1"/>
  <c r="S7" i="356"/>
  <c r="S78" i="356" s="1"/>
  <c r="Q6" i="358"/>
  <c r="Q8" i="358" s="1"/>
  <c r="W7" i="360"/>
  <c r="W78" i="360" s="1"/>
  <c r="AC7" i="356"/>
  <c r="AC78" i="356" s="1"/>
  <c r="R7" i="353"/>
  <c r="R78" i="353" s="1"/>
  <c r="G6" i="354"/>
  <c r="AJ44" i="358"/>
  <c r="AK44" i="358" s="1"/>
  <c r="AJ22" i="358"/>
  <c r="AK22" i="358" s="1"/>
  <c r="AJ26" i="358"/>
  <c r="AK26" i="358" s="1"/>
  <c r="AJ34" i="358"/>
  <c r="AK34" i="358" s="1"/>
  <c r="AJ46" i="358"/>
  <c r="AK46" i="358" s="1"/>
  <c r="AJ11" i="362"/>
  <c r="AK11" i="362" s="1"/>
  <c r="AJ31" i="362"/>
  <c r="AK31" i="362" s="1"/>
  <c r="AJ47" i="362"/>
  <c r="AK47" i="362" s="1"/>
  <c r="AJ20" i="358"/>
  <c r="AK20" i="358" s="1"/>
  <c r="AJ33" i="362"/>
  <c r="AK33" i="362" s="1"/>
  <c r="AA7" i="353"/>
  <c r="AA78" i="353" s="1"/>
  <c r="G6" i="330"/>
  <c r="I6" i="353"/>
  <c r="I8" i="353" s="1"/>
  <c r="J6" i="355"/>
  <c r="J8" i="355" s="1"/>
  <c r="W6" i="360"/>
  <c r="W8" i="360" s="1"/>
  <c r="W7" i="330"/>
  <c r="W78" i="330" s="1"/>
  <c r="AF7" i="330"/>
  <c r="AF78" i="330" s="1"/>
  <c r="G6" i="352"/>
  <c r="G8" i="352" s="1"/>
  <c r="AB7" i="352"/>
  <c r="AB78" i="352" s="1"/>
  <c r="K6" i="353"/>
  <c r="K8" i="353" s="1"/>
  <c r="AC6" i="355"/>
  <c r="G7" i="356"/>
  <c r="G78" i="356" s="1"/>
  <c r="E6" i="360"/>
  <c r="E8" i="360" s="1"/>
  <c r="AG6" i="360"/>
  <c r="AG8" i="360" s="1"/>
  <c r="AG7" i="360"/>
  <c r="AG78" i="360" s="1"/>
  <c r="O7" i="361"/>
  <c r="O78" i="361" s="1"/>
  <c r="F6" i="362"/>
  <c r="F8" i="362" s="1"/>
  <c r="AC6" i="362"/>
  <c r="T7" i="362"/>
  <c r="T78" i="362" s="1"/>
  <c r="T7" i="330"/>
  <c r="T78" i="330" s="1"/>
  <c r="AB7" i="353"/>
  <c r="AB78" i="353" s="1"/>
  <c r="T6" i="362"/>
  <c r="P7" i="362"/>
  <c r="P78" i="362" s="1"/>
  <c r="V7" i="330"/>
  <c r="V78" i="330" s="1"/>
  <c r="N7" i="352"/>
  <c r="N78" i="352" s="1"/>
  <c r="AF7" i="353"/>
  <c r="AF78" i="353" s="1"/>
  <c r="Z7" i="360"/>
  <c r="Z78" i="360" s="1"/>
  <c r="H6" i="361"/>
  <c r="H8" i="361" s="1"/>
  <c r="Z6" i="362"/>
  <c r="R7" i="362"/>
  <c r="R78" i="362" s="1"/>
  <c r="J6" i="353"/>
  <c r="J8" i="353" s="1"/>
  <c r="AB7" i="360"/>
  <c r="AB78" i="360" s="1"/>
  <c r="R6" i="361"/>
  <c r="R8" i="361" s="1"/>
  <c r="E6" i="362"/>
  <c r="E8" i="362" s="1"/>
  <c r="AA6" i="362"/>
  <c r="AA8" i="362" s="1"/>
  <c r="S7" i="362"/>
  <c r="S78" i="362" s="1"/>
  <c r="I6" i="352"/>
  <c r="I8" i="352" s="1"/>
  <c r="X6" i="353"/>
  <c r="X8" i="353" s="1"/>
  <c r="H7" i="355"/>
  <c r="H78" i="355" s="1"/>
  <c r="F6" i="356"/>
  <c r="F8" i="356" s="1"/>
  <c r="H7" i="356"/>
  <c r="H78" i="356" s="1"/>
  <c r="F6" i="360"/>
  <c r="F8" i="360" s="1"/>
  <c r="J7" i="360"/>
  <c r="J78" i="360" s="1"/>
  <c r="V7" i="361"/>
  <c r="V78" i="361" s="1"/>
  <c r="G6" i="362"/>
  <c r="G8" i="362" s="1"/>
  <c r="AD6" i="362"/>
  <c r="AD8" i="362" s="1"/>
  <c r="AA7" i="362"/>
  <c r="AA78" i="362" s="1"/>
  <c r="R7" i="330"/>
  <c r="R78" i="330" s="1"/>
  <c r="H6" i="330"/>
  <c r="H8" i="330" s="1"/>
  <c r="AA7" i="352"/>
  <c r="AA78" i="352" s="1"/>
  <c r="T6" i="355"/>
  <c r="T8" i="355" s="1"/>
  <c r="AD6" i="356"/>
  <c r="AD8" i="356" s="1"/>
  <c r="AA6" i="360"/>
  <c r="AA8" i="360" s="1"/>
  <c r="R6" i="330"/>
  <c r="R8" i="330" s="1"/>
  <c r="S6" i="330"/>
  <c r="S8" i="330" s="1"/>
  <c r="U6" i="330"/>
  <c r="U8" i="330" s="1"/>
  <c r="U6" i="352"/>
  <c r="U8" i="352" s="1"/>
  <c r="AF6" i="353"/>
  <c r="AF8" i="353" s="1"/>
  <c r="E7" i="354"/>
  <c r="E78" i="354" s="1"/>
  <c r="V7" i="355"/>
  <c r="V78" i="355" s="1"/>
  <c r="G6" i="356"/>
  <c r="G8" i="356" s="1"/>
  <c r="R7" i="356"/>
  <c r="R78" i="356" s="1"/>
  <c r="K6" i="358"/>
  <c r="K8" i="358" s="1"/>
  <c r="N7" i="359"/>
  <c r="N78" i="359" s="1"/>
  <c r="G6" i="360"/>
  <c r="K7" i="360"/>
  <c r="K78" i="360" s="1"/>
  <c r="I6" i="362"/>
  <c r="I8" i="362" s="1"/>
  <c r="E7" i="362"/>
  <c r="E78" i="362" s="1"/>
  <c r="AB7" i="362"/>
  <c r="AB78" i="362" s="1"/>
  <c r="AJ45" i="354"/>
  <c r="AK45" i="354" s="1"/>
  <c r="AJ24" i="353"/>
  <c r="AK24" i="353" s="1"/>
  <c r="AJ31" i="360"/>
  <c r="AK31" i="360" s="1"/>
  <c r="AG7" i="359"/>
  <c r="AG78" i="359" s="1"/>
  <c r="V6" i="330"/>
  <c r="V8" i="330" s="1"/>
  <c r="Y7" i="330"/>
  <c r="Y78" i="330" s="1"/>
  <c r="F6" i="355"/>
  <c r="F8" i="355" s="1"/>
  <c r="AC6" i="358"/>
  <c r="AC8" i="358" s="1"/>
  <c r="W6" i="330"/>
  <c r="W8" i="330" s="1"/>
  <c r="Z7" i="330"/>
  <c r="Z78" i="330" s="1"/>
  <c r="M7" i="352"/>
  <c r="M78" i="352" s="1"/>
  <c r="Z7" i="353"/>
  <c r="Z78" i="353" s="1"/>
  <c r="D7" i="354"/>
  <c r="D78" i="354" s="1"/>
  <c r="G6" i="355"/>
  <c r="G8" i="355" s="1"/>
  <c r="G7" i="355"/>
  <c r="G78" i="355" s="1"/>
  <c r="Q6" i="356"/>
  <c r="J7" i="356"/>
  <c r="J78" i="356" s="1"/>
  <c r="K6" i="357"/>
  <c r="K8" i="357" s="1"/>
  <c r="Q7" i="358"/>
  <c r="Q78" i="358" s="1"/>
  <c r="H6" i="359"/>
  <c r="H8" i="359" s="1"/>
  <c r="H6" i="360"/>
  <c r="H8" i="360" s="1"/>
  <c r="AD6" i="360"/>
  <c r="O7" i="360"/>
  <c r="O78" i="360" s="1"/>
  <c r="P6" i="361"/>
  <c r="P8" i="361" s="1"/>
  <c r="Z7" i="361"/>
  <c r="Z78" i="361" s="1"/>
  <c r="W7" i="358"/>
  <c r="W78" i="358" s="1"/>
  <c r="R6" i="359"/>
  <c r="I6" i="360"/>
  <c r="I8" i="360" s="1"/>
  <c r="AF6" i="360"/>
  <c r="V7" i="360"/>
  <c r="V78" i="360" s="1"/>
  <c r="Q6" i="361"/>
  <c r="Q8" i="361" s="1"/>
  <c r="X6" i="357"/>
  <c r="X8" i="357" s="1"/>
  <c r="AA6" i="359"/>
  <c r="AA8" i="359" s="1"/>
  <c r="T8" i="362"/>
  <c r="M6" i="357"/>
  <c r="M8" i="357" s="1"/>
  <c r="R6" i="355"/>
  <c r="R8" i="355" s="1"/>
  <c r="L7" i="355"/>
  <c r="L78" i="355" s="1"/>
  <c r="I6" i="330"/>
  <c r="I8" i="330" s="1"/>
  <c r="S7" i="330"/>
  <c r="S78" i="330" s="1"/>
  <c r="S6" i="355"/>
  <c r="U7" i="355"/>
  <c r="U78" i="355" s="1"/>
  <c r="AA6" i="356"/>
  <c r="AA8" i="356" s="1"/>
  <c r="T7" i="356"/>
  <c r="T78" i="356" s="1"/>
  <c r="AC6" i="357"/>
  <c r="AC8" i="357" s="1"/>
  <c r="E7" i="359"/>
  <c r="E78" i="359" s="1"/>
  <c r="Q6" i="360"/>
  <c r="Q8" i="360" s="1"/>
  <c r="C7" i="360"/>
  <c r="C78" i="360" s="1"/>
  <c r="X7" i="360"/>
  <c r="X78" i="360" s="1"/>
  <c r="S6" i="361"/>
  <c r="F7" i="361"/>
  <c r="F78" i="361" s="1"/>
  <c r="AB6" i="355"/>
  <c r="AB8" i="355" s="1"/>
  <c r="W7" i="355"/>
  <c r="W78" i="355" s="1"/>
  <c r="J7" i="357"/>
  <c r="J78" i="357" s="1"/>
  <c r="W7" i="359"/>
  <c r="W78" i="359" s="1"/>
  <c r="N7" i="361"/>
  <c r="N78" i="361" s="1"/>
  <c r="AD6" i="355"/>
  <c r="R6" i="362"/>
  <c r="R8" i="362" s="1"/>
  <c r="H7" i="362"/>
  <c r="H78" i="362" s="1"/>
  <c r="AC7" i="362"/>
  <c r="AC78" i="362" s="1"/>
  <c r="AJ43" i="358"/>
  <c r="AK43" i="358" s="1"/>
  <c r="AJ45" i="358"/>
  <c r="AK45" i="358" s="1"/>
  <c r="AJ47" i="358"/>
  <c r="AK47" i="358" s="1"/>
  <c r="AJ11" i="359"/>
  <c r="AK11" i="359" s="1"/>
  <c r="AJ17" i="359"/>
  <c r="AK17" i="359" s="1"/>
  <c r="AJ23" i="359"/>
  <c r="AK23" i="359" s="1"/>
  <c r="AJ27" i="359"/>
  <c r="AK27" i="359" s="1"/>
  <c r="AJ29" i="359"/>
  <c r="AK29" i="359" s="1"/>
  <c r="AJ26" i="361"/>
  <c r="AK26" i="361" s="1"/>
  <c r="AJ32" i="361"/>
  <c r="AK32" i="361" s="1"/>
  <c r="AJ42" i="361"/>
  <c r="AK42" i="361" s="1"/>
  <c r="AJ44" i="361"/>
  <c r="AK44" i="361" s="1"/>
  <c r="AJ28" i="355"/>
  <c r="AK28" i="355" s="1"/>
  <c r="AJ30" i="355"/>
  <c r="AK30" i="355" s="1"/>
  <c r="AJ44" i="359"/>
  <c r="AK44" i="359" s="1"/>
  <c r="AJ48" i="359"/>
  <c r="AK48" i="359" s="1"/>
  <c r="AJ17" i="361"/>
  <c r="AK17" i="361" s="1"/>
  <c r="AJ23" i="361"/>
  <c r="AK23" i="361" s="1"/>
  <c r="AJ29" i="361"/>
  <c r="AK29" i="361" s="1"/>
  <c r="AJ37" i="360"/>
  <c r="AK37" i="360" s="1"/>
  <c r="AJ12" i="362"/>
  <c r="AK12" i="362" s="1"/>
  <c r="AJ33" i="356"/>
  <c r="AK33" i="356" s="1"/>
  <c r="AJ47" i="356"/>
  <c r="AK47" i="356" s="1"/>
  <c r="AJ12" i="357"/>
  <c r="AK12" i="357" s="1"/>
  <c r="AJ14" i="357"/>
  <c r="AK14" i="357" s="1"/>
  <c r="AJ18" i="357"/>
  <c r="AK18" i="357" s="1"/>
  <c r="AJ24" i="357"/>
  <c r="AK24" i="357" s="1"/>
  <c r="AJ28" i="357"/>
  <c r="AK28" i="357" s="1"/>
  <c r="AJ46" i="357"/>
  <c r="AK46" i="357" s="1"/>
  <c r="AJ15" i="358"/>
  <c r="AK15" i="358" s="1"/>
  <c r="AJ33" i="358"/>
  <c r="AK33" i="358" s="1"/>
  <c r="AJ37" i="358"/>
  <c r="AK37" i="358" s="1"/>
  <c r="AJ41" i="358"/>
  <c r="AK41" i="358" s="1"/>
  <c r="AJ16" i="362"/>
  <c r="AK16" i="362" s="1"/>
  <c r="AJ22" i="362"/>
  <c r="AK22" i="362" s="1"/>
  <c r="AJ38" i="362"/>
  <c r="AK38" i="362" s="1"/>
  <c r="AJ46" i="362"/>
  <c r="AK46" i="362" s="1"/>
  <c r="AJ26" i="359"/>
  <c r="AK26" i="359" s="1"/>
  <c r="AJ31" i="361"/>
  <c r="AK31" i="361" s="1"/>
  <c r="AJ13" i="352"/>
  <c r="AK13" i="352" s="1"/>
  <c r="AJ15" i="352"/>
  <c r="AK15" i="352" s="1"/>
  <c r="AJ45" i="361"/>
  <c r="AK45" i="361" s="1"/>
  <c r="AJ47" i="361"/>
  <c r="AK47" i="361" s="1"/>
  <c r="AJ49" i="361"/>
  <c r="AK49" i="361" s="1"/>
  <c r="AJ33" i="359"/>
  <c r="AK33" i="359" s="1"/>
  <c r="AJ30" i="362"/>
  <c r="AK30" i="362" s="1"/>
  <c r="AJ21" i="357"/>
  <c r="AK21" i="357" s="1"/>
  <c r="AJ31" i="357"/>
  <c r="AK31" i="357" s="1"/>
  <c r="AJ33" i="357"/>
  <c r="AK33" i="357" s="1"/>
  <c r="AJ37" i="357"/>
  <c r="AK37" i="357" s="1"/>
  <c r="AJ47" i="357"/>
  <c r="AK47" i="357" s="1"/>
  <c r="AJ30" i="358"/>
  <c r="AK30" i="358" s="1"/>
  <c r="AJ30" i="359"/>
  <c r="AK30" i="359" s="1"/>
  <c r="AJ32" i="362"/>
  <c r="AK32" i="362" s="1"/>
  <c r="AJ33" i="360"/>
  <c r="AK33" i="360" s="1"/>
  <c r="AJ31" i="359"/>
  <c r="AK31" i="359" s="1"/>
  <c r="AJ32" i="358"/>
  <c r="AK32" i="358" s="1"/>
  <c r="AJ21" i="360"/>
  <c r="AK21" i="360" s="1"/>
  <c r="AJ29" i="360"/>
  <c r="AK29" i="360" s="1"/>
  <c r="AJ15" i="362"/>
  <c r="AK15" i="362" s="1"/>
  <c r="AJ19" i="362"/>
  <c r="AK19" i="362" s="1"/>
  <c r="AJ31" i="358"/>
  <c r="AK31" i="358" s="1"/>
  <c r="AJ47" i="360"/>
  <c r="AK47" i="360" s="1"/>
  <c r="AJ26" i="360"/>
  <c r="AK26" i="360" s="1"/>
  <c r="AJ27" i="358"/>
  <c r="AK27" i="358" s="1"/>
  <c r="AJ38" i="358"/>
  <c r="AK38" i="358" s="1"/>
  <c r="AJ32" i="359"/>
  <c r="AK32" i="359" s="1"/>
  <c r="AJ25" i="361"/>
  <c r="AK25" i="361" s="1"/>
  <c r="AJ20" i="361"/>
  <c r="AK20" i="361" s="1"/>
  <c r="AJ19" i="360"/>
  <c r="AJ15" i="360"/>
  <c r="AK15" i="360" s="1"/>
  <c r="AJ12" i="360"/>
  <c r="AJ14" i="360"/>
  <c r="AK14" i="360" s="1"/>
  <c r="AJ16" i="360"/>
  <c r="AK16" i="360" s="1"/>
  <c r="AJ18" i="360"/>
  <c r="AK18" i="360" s="1"/>
  <c r="AJ20" i="360"/>
  <c r="AK20" i="360" s="1"/>
  <c r="AJ22" i="360"/>
  <c r="AK22" i="360" s="1"/>
  <c r="AJ24" i="360"/>
  <c r="AK24" i="360" s="1"/>
  <c r="AJ28" i="360"/>
  <c r="AK28" i="360" s="1"/>
  <c r="AJ28" i="359"/>
  <c r="AK28" i="359" s="1"/>
  <c r="AJ15" i="359"/>
  <c r="AK15" i="359" s="1"/>
  <c r="AJ14" i="359"/>
  <c r="AJ18" i="359"/>
  <c r="AK18" i="359" s="1"/>
  <c r="AJ25" i="358"/>
  <c r="AK25" i="358" s="1"/>
  <c r="AJ29" i="358"/>
  <c r="AK29" i="358" s="1"/>
  <c r="AJ29" i="357"/>
  <c r="AK29" i="357" s="1"/>
  <c r="AJ15" i="357"/>
  <c r="AK15" i="357" s="1"/>
  <c r="AJ22" i="355"/>
  <c r="AK22" i="355" s="1"/>
  <c r="AJ26" i="362"/>
  <c r="AK26" i="362" s="1"/>
  <c r="AJ25" i="362"/>
  <c r="AK25" i="362" s="1"/>
  <c r="AJ27" i="362"/>
  <c r="AK27" i="362" s="1"/>
  <c r="AJ20" i="362"/>
  <c r="AK20" i="362" s="1"/>
  <c r="AJ21" i="362"/>
  <c r="AK21" i="362" s="1"/>
  <c r="AJ14" i="362"/>
  <c r="AK14" i="362" s="1"/>
  <c r="AJ23" i="362"/>
  <c r="AK23" i="362" s="1"/>
  <c r="AJ19" i="361"/>
  <c r="AJ21" i="361"/>
  <c r="AJ24" i="361"/>
  <c r="AK24" i="361" s="1"/>
  <c r="AJ11" i="361"/>
  <c r="AK11" i="361" s="1"/>
  <c r="AJ27" i="361"/>
  <c r="AK27" i="361" s="1"/>
  <c r="AJ15" i="361"/>
  <c r="AK15" i="361" s="1"/>
  <c r="AJ16" i="361"/>
  <c r="AK16" i="361" s="1"/>
  <c r="AJ17" i="360"/>
  <c r="AK17" i="360" s="1"/>
  <c r="AJ11" i="360"/>
  <c r="AK11" i="360" s="1"/>
  <c r="AJ25" i="360"/>
  <c r="AK25" i="360" s="1"/>
  <c r="AJ23" i="360"/>
  <c r="AK23" i="360" s="1"/>
  <c r="AJ27" i="360"/>
  <c r="AK27" i="360" s="1"/>
  <c r="AJ13" i="359"/>
  <c r="AJ16" i="359"/>
  <c r="AK16" i="359" s="1"/>
  <c r="AJ21" i="359"/>
  <c r="AK21" i="359" s="1"/>
  <c r="AJ25" i="359"/>
  <c r="AK25" i="359" s="1"/>
  <c r="AJ24" i="359"/>
  <c r="AK24" i="359" s="1"/>
  <c r="AJ17" i="358"/>
  <c r="AJ28" i="358"/>
  <c r="AK28" i="358" s="1"/>
  <c r="AJ24" i="358"/>
  <c r="AK24" i="358" s="1"/>
  <c r="AJ14" i="358"/>
  <c r="AK14" i="358" s="1"/>
  <c r="AJ12" i="358"/>
  <c r="AK12" i="358" s="1"/>
  <c r="AJ21" i="358"/>
  <c r="AJ19" i="358"/>
  <c r="AK19" i="358" s="1"/>
  <c r="AJ11" i="358"/>
  <c r="AK11" i="358" s="1"/>
  <c r="AJ23" i="358"/>
  <c r="AJ18" i="358"/>
  <c r="AK18" i="358" s="1"/>
  <c r="AJ13" i="358"/>
  <c r="AK13" i="358" s="1"/>
  <c r="AJ16" i="358"/>
  <c r="AK16" i="358" s="1"/>
  <c r="AJ19" i="357"/>
  <c r="AK19" i="357" s="1"/>
  <c r="AJ25" i="357"/>
  <c r="AK25" i="357" s="1"/>
  <c r="AJ17" i="357"/>
  <c r="AK17" i="357" s="1"/>
  <c r="AJ13" i="357"/>
  <c r="AK13" i="357" s="1"/>
  <c r="AJ15" i="356"/>
  <c r="AK15" i="356" s="1"/>
  <c r="AJ17" i="356"/>
  <c r="AK17" i="356" s="1"/>
  <c r="AJ26" i="356"/>
  <c r="AK26" i="356" s="1"/>
  <c r="AJ25" i="355"/>
  <c r="AJ15" i="354"/>
  <c r="AJ16" i="352"/>
  <c r="AK16" i="352" s="1"/>
  <c r="AJ41" i="362"/>
  <c r="AK41" i="362" s="1"/>
  <c r="AJ38" i="359"/>
  <c r="AK38" i="359" s="1"/>
  <c r="AJ40" i="356"/>
  <c r="AK40" i="356" s="1"/>
  <c r="AJ40" i="362"/>
  <c r="AK40" i="362" s="1"/>
  <c r="AJ39" i="360"/>
  <c r="AK39" i="360" s="1"/>
  <c r="AJ42" i="362"/>
  <c r="AK42" i="362" s="1"/>
  <c r="AJ35" i="358"/>
  <c r="AK35" i="358" s="1"/>
  <c r="AJ40" i="359"/>
  <c r="AK40" i="359" s="1"/>
  <c r="AJ42" i="355"/>
  <c r="AK42" i="355" s="1"/>
  <c r="AJ44" i="355"/>
  <c r="AK44" i="355" s="1"/>
  <c r="AJ41" i="356"/>
  <c r="AK41" i="356" s="1"/>
  <c r="AJ47" i="359"/>
  <c r="AK47" i="359" s="1"/>
  <c r="AJ37" i="361"/>
  <c r="AK37" i="361" s="1"/>
  <c r="AJ39" i="361"/>
  <c r="AK39" i="361" s="1"/>
  <c r="AJ37" i="362"/>
  <c r="AK37" i="362" s="1"/>
  <c r="AJ39" i="358"/>
  <c r="AK39" i="358" s="1"/>
  <c r="AJ36" i="359"/>
  <c r="AK36" i="359" s="1"/>
  <c r="AJ49" i="358"/>
  <c r="AK49" i="358" s="1"/>
  <c r="AJ39" i="357"/>
  <c r="AK39" i="357" s="1"/>
  <c r="AJ37" i="359"/>
  <c r="AK37" i="359" s="1"/>
  <c r="AJ43" i="359"/>
  <c r="AK43" i="359" s="1"/>
  <c r="AJ46" i="361"/>
  <c r="AK46" i="361" s="1"/>
  <c r="AJ35" i="359"/>
  <c r="AK35" i="359" s="1"/>
  <c r="AJ45" i="359"/>
  <c r="AK45" i="359" s="1"/>
  <c r="AJ35" i="357"/>
  <c r="AK35" i="357" s="1"/>
  <c r="AJ38" i="361"/>
  <c r="AK38" i="361" s="1"/>
  <c r="AJ40" i="360"/>
  <c r="AK40" i="360" s="1"/>
  <c r="AJ34" i="359"/>
  <c r="AK34" i="359" s="1"/>
  <c r="AJ48" i="360"/>
  <c r="AK48" i="360" s="1"/>
  <c r="AJ41" i="360"/>
  <c r="AK41" i="360" s="1"/>
  <c r="AJ36" i="358"/>
  <c r="AK36" i="358" s="1"/>
  <c r="AJ45" i="357"/>
  <c r="AK45" i="357" s="1"/>
  <c r="AJ45" i="360"/>
  <c r="AK45" i="360" s="1"/>
  <c r="AJ40" i="358"/>
  <c r="AK40" i="358" s="1"/>
  <c r="AI50" i="357"/>
  <c r="AJ44" i="356"/>
  <c r="AK44" i="356" s="1"/>
  <c r="AJ41" i="357"/>
  <c r="AK41" i="357" s="1"/>
  <c r="AJ44" i="360"/>
  <c r="AK44" i="360" s="1"/>
  <c r="AJ42" i="358"/>
  <c r="AK42" i="358" s="1"/>
  <c r="AJ36" i="362"/>
  <c r="AK36" i="362" s="1"/>
  <c r="AJ36" i="355"/>
  <c r="AK36" i="355" s="1"/>
  <c r="AJ34" i="357"/>
  <c r="AK34" i="357" s="1"/>
  <c r="AJ40" i="357"/>
  <c r="AK40" i="357" s="1"/>
  <c r="AJ49" i="359"/>
  <c r="AK49" i="359" s="1"/>
  <c r="AJ46" i="360"/>
  <c r="AK46" i="360" s="1"/>
  <c r="AJ49" i="360"/>
  <c r="AK49" i="360" s="1"/>
  <c r="AJ41" i="361"/>
  <c r="AK41" i="361" s="1"/>
  <c r="AJ48" i="362"/>
  <c r="AK48" i="362" s="1"/>
  <c r="AJ40" i="361"/>
  <c r="AK40" i="361" s="1"/>
  <c r="AJ41" i="359"/>
  <c r="AK41" i="359" s="1"/>
  <c r="AJ36" i="360"/>
  <c r="AK36" i="360" s="1"/>
  <c r="AQ50" i="357"/>
  <c r="AJ48" i="361"/>
  <c r="AK48" i="361" s="1"/>
  <c r="AJ35" i="356"/>
  <c r="AK35" i="356" s="1"/>
  <c r="AJ42" i="359"/>
  <c r="AK42" i="359" s="1"/>
  <c r="AJ35" i="360"/>
  <c r="AK35" i="360" s="1"/>
  <c r="AJ38" i="360"/>
  <c r="AK38" i="360" s="1"/>
  <c r="AJ43" i="360"/>
  <c r="AK43" i="360" s="1"/>
  <c r="AJ35" i="362"/>
  <c r="AK35" i="362" s="1"/>
  <c r="D7" i="352"/>
  <c r="D78" i="352" s="1"/>
  <c r="E7" i="352"/>
  <c r="E78" i="352" s="1"/>
  <c r="C6" i="352"/>
  <c r="C8" i="352" s="1"/>
  <c r="AE7" i="352"/>
  <c r="AE78" i="352" s="1"/>
  <c r="O6" i="352"/>
  <c r="J7" i="352"/>
  <c r="J78" i="352" s="1"/>
  <c r="AF7" i="352"/>
  <c r="AF78" i="352" s="1"/>
  <c r="E6" i="352"/>
  <c r="Q6" i="352"/>
  <c r="Q8" i="352" s="1"/>
  <c r="AD6" i="352"/>
  <c r="K7" i="352"/>
  <c r="K78" i="352" s="1"/>
  <c r="V7" i="352"/>
  <c r="V78" i="352" s="1"/>
  <c r="L6" i="352"/>
  <c r="L8" i="352" s="1"/>
  <c r="W6" i="352"/>
  <c r="W8" i="352" s="1"/>
  <c r="R7" i="352"/>
  <c r="R78" i="352" s="1"/>
  <c r="AC7" i="352"/>
  <c r="AC78" i="352" s="1"/>
  <c r="M6" i="352"/>
  <c r="M8" i="352" s="1"/>
  <c r="Y6" i="352"/>
  <c r="S7" i="352"/>
  <c r="S78" i="352" s="1"/>
  <c r="AD7" i="352"/>
  <c r="AD78" i="352" s="1"/>
  <c r="AG8" i="352"/>
  <c r="N6" i="352"/>
  <c r="Z6" i="352"/>
  <c r="Z8" i="352" s="1"/>
  <c r="H7" i="352"/>
  <c r="H78" i="352" s="1"/>
  <c r="T7" i="352"/>
  <c r="T78" i="352" s="1"/>
  <c r="D6" i="352"/>
  <c r="D8" i="352" s="1"/>
  <c r="AA6" i="352"/>
  <c r="U7" i="352"/>
  <c r="U78" i="352" s="1"/>
  <c r="F6" i="352"/>
  <c r="R6" i="352"/>
  <c r="R8" i="352" s="1"/>
  <c r="AE6" i="352"/>
  <c r="L7" i="352"/>
  <c r="L78" i="352" s="1"/>
  <c r="AG6" i="353"/>
  <c r="AG8" i="353" s="1"/>
  <c r="C7" i="353"/>
  <c r="C78" i="353" s="1"/>
  <c r="H6" i="353"/>
  <c r="H8" i="353" s="1"/>
  <c r="D7" i="353"/>
  <c r="D78" i="353" s="1"/>
  <c r="C6" i="354"/>
  <c r="C8" i="354" s="1"/>
  <c r="D6" i="354"/>
  <c r="D8" i="354" s="1"/>
  <c r="M6" i="354"/>
  <c r="M8" i="354" s="1"/>
  <c r="V6" i="354"/>
  <c r="AE6" i="354"/>
  <c r="I7" i="354"/>
  <c r="I78" i="354" s="1"/>
  <c r="S7" i="354"/>
  <c r="S78" i="354" s="1"/>
  <c r="AB7" i="354"/>
  <c r="AB78" i="354" s="1"/>
  <c r="X7" i="354"/>
  <c r="X78" i="354" s="1"/>
  <c r="Y7" i="354"/>
  <c r="Y78" i="354" s="1"/>
  <c r="Q7" i="354"/>
  <c r="Q78" i="354" s="1"/>
  <c r="E6" i="354"/>
  <c r="E8" i="354" s="1"/>
  <c r="N6" i="354"/>
  <c r="W6" i="354"/>
  <c r="AF6" i="354"/>
  <c r="AF8" i="354" s="1"/>
  <c r="K7" i="354"/>
  <c r="K78" i="354" s="1"/>
  <c r="T7" i="354"/>
  <c r="T78" i="354" s="1"/>
  <c r="AC7" i="354"/>
  <c r="AC78" i="354" s="1"/>
  <c r="J6" i="354"/>
  <c r="S6" i="354"/>
  <c r="AB6" i="354"/>
  <c r="F7" i="354"/>
  <c r="F78" i="354" s="1"/>
  <c r="O7" i="354"/>
  <c r="O78" i="354" s="1"/>
  <c r="AG7" i="354"/>
  <c r="AG78" i="354" s="1"/>
  <c r="K6" i="354"/>
  <c r="K8" i="354" s="1"/>
  <c r="T6" i="354"/>
  <c r="AC6" i="354"/>
  <c r="G7" i="354"/>
  <c r="G78" i="354" s="1"/>
  <c r="P7" i="354"/>
  <c r="P78" i="354" s="1"/>
  <c r="L6" i="354"/>
  <c r="U6" i="354"/>
  <c r="AD6" i="354"/>
  <c r="H7" i="354"/>
  <c r="H78" i="354" s="1"/>
  <c r="AA7" i="354"/>
  <c r="AA78" i="354" s="1"/>
  <c r="G8" i="354"/>
  <c r="F6" i="354"/>
  <c r="O6" i="354"/>
  <c r="X6" i="354"/>
  <c r="X8" i="354" s="1"/>
  <c r="C7" i="354"/>
  <c r="C78" i="354" s="1"/>
  <c r="L7" i="354"/>
  <c r="L78" i="354" s="1"/>
  <c r="U7" i="354"/>
  <c r="U78" i="354" s="1"/>
  <c r="AD7" i="354"/>
  <c r="AD78" i="354" s="1"/>
  <c r="K6" i="355"/>
  <c r="K8" i="355" s="1"/>
  <c r="U6" i="355"/>
  <c r="AE6" i="355"/>
  <c r="X7" i="355"/>
  <c r="X78" i="355" s="1"/>
  <c r="V6" i="355"/>
  <c r="C7" i="355"/>
  <c r="C78" i="355" s="1"/>
  <c r="N7" i="355"/>
  <c r="N78" i="355" s="1"/>
  <c r="Z7" i="355"/>
  <c r="Z78" i="355" s="1"/>
  <c r="C6" i="355"/>
  <c r="C8" i="355" s="1"/>
  <c r="M6" i="355"/>
  <c r="W6" i="355"/>
  <c r="D7" i="355"/>
  <c r="D78" i="355" s="1"/>
  <c r="O7" i="355"/>
  <c r="O78" i="355" s="1"/>
  <c r="AA7" i="355"/>
  <c r="AA78" i="355" s="1"/>
  <c r="M7" i="355"/>
  <c r="M78" i="355" s="1"/>
  <c r="L6" i="355"/>
  <c r="D6" i="355"/>
  <c r="N6" i="355"/>
  <c r="N8" i="355" s="1"/>
  <c r="Z6" i="355"/>
  <c r="Z8" i="355" s="1"/>
  <c r="E7" i="355"/>
  <c r="E78" i="355" s="1"/>
  <c r="P7" i="355"/>
  <c r="P78" i="355" s="1"/>
  <c r="AD7" i="355"/>
  <c r="AD78" i="355" s="1"/>
  <c r="E6" i="355"/>
  <c r="O6" i="355"/>
  <c r="AA6" i="355"/>
  <c r="F7" i="355"/>
  <c r="F78" i="355" s="1"/>
  <c r="R7" i="355"/>
  <c r="R78" i="355" s="1"/>
  <c r="AE7" i="355"/>
  <c r="AE78" i="355" s="1"/>
  <c r="U6" i="356"/>
  <c r="AE6" i="356"/>
  <c r="U7" i="356"/>
  <c r="U78" i="356" s="1"/>
  <c r="AE7" i="356"/>
  <c r="AE78" i="356" s="1"/>
  <c r="AG6" i="356"/>
  <c r="AG8" i="356" s="1"/>
  <c r="L7" i="356"/>
  <c r="L78" i="356" s="1"/>
  <c r="AF7" i="356"/>
  <c r="AF78" i="356" s="1"/>
  <c r="C6" i="356"/>
  <c r="M6" i="356"/>
  <c r="M8" i="356" s="1"/>
  <c r="W6" i="356"/>
  <c r="W8" i="356" s="1"/>
  <c r="C7" i="356"/>
  <c r="C78" i="356" s="1"/>
  <c r="M7" i="356"/>
  <c r="M78" i="356" s="1"/>
  <c r="W7" i="356"/>
  <c r="W78" i="356" s="1"/>
  <c r="V6" i="356"/>
  <c r="V8" i="356" s="1"/>
  <c r="D6" i="356"/>
  <c r="D8" i="356" s="1"/>
  <c r="N6" i="356"/>
  <c r="Y6" i="356"/>
  <c r="D7" i="356"/>
  <c r="D78" i="356" s="1"/>
  <c r="N7" i="356"/>
  <c r="N78" i="356" s="1"/>
  <c r="Z7" i="356"/>
  <c r="Z78" i="356" s="1"/>
  <c r="AC8" i="356"/>
  <c r="K6" i="356"/>
  <c r="K8" i="356" s="1"/>
  <c r="K7" i="356"/>
  <c r="K78" i="356" s="1"/>
  <c r="L6" i="356"/>
  <c r="L8" i="356" s="1"/>
  <c r="V7" i="356"/>
  <c r="V78" i="356" s="1"/>
  <c r="E6" i="356"/>
  <c r="O6" i="356"/>
  <c r="Z6" i="356"/>
  <c r="Z8" i="356" s="1"/>
  <c r="E7" i="356"/>
  <c r="E78" i="356" s="1"/>
  <c r="P7" i="356"/>
  <c r="P78" i="356" s="1"/>
  <c r="Y7" i="357"/>
  <c r="Y78" i="357" s="1"/>
  <c r="Z7" i="357"/>
  <c r="Z78" i="357" s="1"/>
  <c r="AD6" i="358"/>
  <c r="AD8" i="358" s="1"/>
  <c r="E7" i="358"/>
  <c r="E78" i="358" s="1"/>
  <c r="P7" i="358"/>
  <c r="P78" i="358" s="1"/>
  <c r="S6" i="359"/>
  <c r="K6" i="359"/>
  <c r="K8" i="359" s="1"/>
  <c r="AC6" i="359"/>
  <c r="AC8" i="359" s="1"/>
  <c r="P7" i="359"/>
  <c r="P78" i="359" s="1"/>
  <c r="Y7" i="359"/>
  <c r="Y78" i="359" s="1"/>
  <c r="L6" i="359"/>
  <c r="L8" i="359" s="1"/>
  <c r="U6" i="359"/>
  <c r="H7" i="359"/>
  <c r="H78" i="359" s="1"/>
  <c r="Q7" i="359"/>
  <c r="Q78" i="359" s="1"/>
  <c r="V6" i="359"/>
  <c r="I7" i="359"/>
  <c r="I78" i="359" s="1"/>
  <c r="E6" i="359"/>
  <c r="N6" i="359"/>
  <c r="N8" i="359" s="1"/>
  <c r="W6" i="359"/>
  <c r="AF6" i="359"/>
  <c r="K7" i="359"/>
  <c r="K78" i="359" s="1"/>
  <c r="T7" i="359"/>
  <c r="T78" i="359" s="1"/>
  <c r="AC7" i="359"/>
  <c r="AC78" i="359" s="1"/>
  <c r="J6" i="359"/>
  <c r="J8" i="359" s="1"/>
  <c r="AB6" i="359"/>
  <c r="O7" i="359"/>
  <c r="O78" i="359" s="1"/>
  <c r="X7" i="359"/>
  <c r="X78" i="359" s="1"/>
  <c r="T6" i="359"/>
  <c r="AD6" i="359"/>
  <c r="AD8" i="359" s="1"/>
  <c r="M6" i="359"/>
  <c r="S7" i="359"/>
  <c r="S78" i="359" s="1"/>
  <c r="F6" i="359"/>
  <c r="O6" i="359"/>
  <c r="X6" i="359"/>
  <c r="C7" i="359"/>
  <c r="C78" i="359" s="1"/>
  <c r="L7" i="359"/>
  <c r="L78" i="359" s="1"/>
  <c r="U7" i="359"/>
  <c r="U78" i="359" s="1"/>
  <c r="AD7" i="359"/>
  <c r="AD78" i="359" s="1"/>
  <c r="F7" i="359"/>
  <c r="F78" i="359" s="1"/>
  <c r="G7" i="359"/>
  <c r="G78" i="359" s="1"/>
  <c r="C6" i="359"/>
  <c r="C8" i="359" s="1"/>
  <c r="AA7" i="359"/>
  <c r="AA78" i="359" s="1"/>
  <c r="D6" i="359"/>
  <c r="D8" i="359" s="1"/>
  <c r="AE6" i="359"/>
  <c r="AB7" i="359"/>
  <c r="AB78" i="359" s="1"/>
  <c r="G6" i="359"/>
  <c r="P6" i="359"/>
  <c r="P8" i="359" s="1"/>
  <c r="Z6" i="359"/>
  <c r="D7" i="359"/>
  <c r="D78" i="359" s="1"/>
  <c r="M7" i="359"/>
  <c r="M78" i="359" s="1"/>
  <c r="V7" i="359"/>
  <c r="V78" i="359" s="1"/>
  <c r="AF7" i="359"/>
  <c r="AF78" i="359" s="1"/>
  <c r="K6" i="360"/>
  <c r="X6" i="360"/>
  <c r="D7" i="360"/>
  <c r="D78" i="360" s="1"/>
  <c r="Q7" i="360"/>
  <c r="Q78" i="360" s="1"/>
  <c r="AD7" i="360"/>
  <c r="AD78" i="360" s="1"/>
  <c r="N6" i="360"/>
  <c r="N8" i="360" s="1"/>
  <c r="Y6" i="360"/>
  <c r="F7" i="360"/>
  <c r="F78" i="360" s="1"/>
  <c r="S7" i="360"/>
  <c r="S78" i="360" s="1"/>
  <c r="AE7" i="360"/>
  <c r="AE78" i="360" s="1"/>
  <c r="O6" i="360"/>
  <c r="O8" i="360" s="1"/>
  <c r="Z6" i="360"/>
  <c r="H7" i="360"/>
  <c r="H78" i="360" s="1"/>
  <c r="T7" i="360"/>
  <c r="T78" i="360" s="1"/>
  <c r="C7" i="361"/>
  <c r="C78" i="361" s="1"/>
  <c r="AF7" i="361"/>
  <c r="AF78" i="361" s="1"/>
  <c r="AD6" i="361"/>
  <c r="AD8" i="361" s="1"/>
  <c r="AE7" i="361"/>
  <c r="AE78" i="361" s="1"/>
  <c r="G6" i="361"/>
  <c r="D7" i="361"/>
  <c r="D78" i="361" s="1"/>
  <c r="K6" i="362"/>
  <c r="L6" i="362"/>
  <c r="V6" i="362"/>
  <c r="V8" i="362" s="1"/>
  <c r="AG6" i="362"/>
  <c r="L7" i="362"/>
  <c r="L78" i="362" s="1"/>
  <c r="V7" i="362"/>
  <c r="V78" i="362" s="1"/>
  <c r="AF7" i="362"/>
  <c r="AF78" i="362" s="1"/>
  <c r="AE6" i="362"/>
  <c r="K7" i="362"/>
  <c r="K78" i="362" s="1"/>
  <c r="U7" i="362"/>
  <c r="U78" i="362" s="1"/>
  <c r="AE7" i="362"/>
  <c r="AE78" i="362" s="1"/>
  <c r="C6" i="362"/>
  <c r="M6" i="362"/>
  <c r="M8" i="362" s="1"/>
  <c r="W6" i="362"/>
  <c r="W8" i="362" s="1"/>
  <c r="C7" i="362"/>
  <c r="C78" i="362" s="1"/>
  <c r="M7" i="362"/>
  <c r="M78" i="362" s="1"/>
  <c r="W7" i="362"/>
  <c r="W78" i="362" s="1"/>
  <c r="AC8" i="362"/>
  <c r="U6" i="362"/>
  <c r="D6" i="362"/>
  <c r="D8" i="362" s="1"/>
  <c r="N6" i="362"/>
  <c r="N8" i="362" s="1"/>
  <c r="Y6" i="362"/>
  <c r="Y8" i="362" s="1"/>
  <c r="D7" i="362"/>
  <c r="D78" i="362" s="1"/>
  <c r="N7" i="362"/>
  <c r="N78" i="362" s="1"/>
  <c r="AP50" i="362"/>
  <c r="AJ10" i="358"/>
  <c r="AH50" i="358"/>
  <c r="AJ32" i="355"/>
  <c r="AK32" i="355" s="1"/>
  <c r="AJ20" i="357"/>
  <c r="AK20" i="357" s="1"/>
  <c r="AJ30" i="357"/>
  <c r="AK30" i="357" s="1"/>
  <c r="AJ13" i="360"/>
  <c r="AK13" i="360" s="1"/>
  <c r="AI50" i="360"/>
  <c r="AQ50" i="358"/>
  <c r="AH50" i="357"/>
  <c r="AJ23" i="357"/>
  <c r="AK23" i="357" s="1"/>
  <c r="AJ26" i="357"/>
  <c r="AJ36" i="357"/>
  <c r="AK36" i="357" s="1"/>
  <c r="L8" i="358"/>
  <c r="P8" i="360"/>
  <c r="AJ48" i="354"/>
  <c r="AK48" i="354" s="1"/>
  <c r="AJ43" i="357"/>
  <c r="AK43" i="357" s="1"/>
  <c r="AJ24" i="356"/>
  <c r="AK24" i="356" s="1"/>
  <c r="G7" i="358"/>
  <c r="G78" i="358" s="1"/>
  <c r="E6" i="357"/>
  <c r="U6" i="357"/>
  <c r="AG6" i="357"/>
  <c r="R7" i="357"/>
  <c r="R78" i="357" s="1"/>
  <c r="AJ27" i="357"/>
  <c r="AK27" i="357" s="1"/>
  <c r="AJ49" i="357"/>
  <c r="AK49" i="357" s="1"/>
  <c r="C6" i="358"/>
  <c r="U6" i="358"/>
  <c r="H7" i="358"/>
  <c r="H78" i="358" s="1"/>
  <c r="AI50" i="358"/>
  <c r="AJ22" i="356"/>
  <c r="AK22" i="356" s="1"/>
  <c r="AJ45" i="356"/>
  <c r="AK45" i="356" s="1"/>
  <c r="O6" i="357"/>
  <c r="P7" i="357"/>
  <c r="P78" i="357" s="1"/>
  <c r="AA7" i="358"/>
  <c r="AA78" i="358" s="1"/>
  <c r="S7" i="358"/>
  <c r="S78" i="358" s="1"/>
  <c r="K7" i="358"/>
  <c r="K78" i="358" s="1"/>
  <c r="C7" i="358"/>
  <c r="C78" i="358" s="1"/>
  <c r="Z6" i="358"/>
  <c r="R6" i="358"/>
  <c r="J6" i="358"/>
  <c r="AE7" i="358"/>
  <c r="AE78" i="358" s="1"/>
  <c r="V7" i="358"/>
  <c r="V78" i="358" s="1"/>
  <c r="M7" i="358"/>
  <c r="M78" i="358" s="1"/>
  <c r="D7" i="358"/>
  <c r="D78" i="358" s="1"/>
  <c r="Y6" i="358"/>
  <c r="P6" i="358"/>
  <c r="G6" i="358"/>
  <c r="AD7" i="358"/>
  <c r="AD78" i="358" s="1"/>
  <c r="U7" i="358"/>
  <c r="U78" i="358" s="1"/>
  <c r="L7" i="358"/>
  <c r="L78" i="358" s="1"/>
  <c r="AG6" i="358"/>
  <c r="X6" i="358"/>
  <c r="O6" i="358"/>
  <c r="F6" i="358"/>
  <c r="M6" i="358"/>
  <c r="AC7" i="358"/>
  <c r="AC78" i="358" s="1"/>
  <c r="T7" i="358"/>
  <c r="T78" i="358" s="1"/>
  <c r="J7" i="358"/>
  <c r="J78" i="358" s="1"/>
  <c r="AF6" i="358"/>
  <c r="W6" i="358"/>
  <c r="N6" i="358"/>
  <c r="E6" i="358"/>
  <c r="AB7" i="358"/>
  <c r="AB78" i="358" s="1"/>
  <c r="R7" i="358"/>
  <c r="R78" i="358" s="1"/>
  <c r="I7" i="358"/>
  <c r="I78" i="358" s="1"/>
  <c r="AE6" i="358"/>
  <c r="V6" i="358"/>
  <c r="D6" i="358"/>
  <c r="S6" i="358"/>
  <c r="F7" i="358"/>
  <c r="F78" i="358" s="1"/>
  <c r="X7" i="358"/>
  <c r="X78" i="358" s="1"/>
  <c r="AD8" i="360"/>
  <c r="AJ18" i="355"/>
  <c r="AK18" i="355" s="1"/>
  <c r="C6" i="357"/>
  <c r="S6" i="357"/>
  <c r="AF6" i="357"/>
  <c r="Q7" i="357"/>
  <c r="Q78" i="357" s="1"/>
  <c r="Y7" i="358"/>
  <c r="Y78" i="358" s="1"/>
  <c r="AJ10" i="360"/>
  <c r="AH50" i="360"/>
  <c r="AJ34" i="355"/>
  <c r="AK34" i="355" s="1"/>
  <c r="AJ42" i="357"/>
  <c r="AK42" i="357" s="1"/>
  <c r="H6" i="358"/>
  <c r="AA6" i="358"/>
  <c r="N7" i="358"/>
  <c r="N78" i="358" s="1"/>
  <c r="AF7" i="358"/>
  <c r="AF78" i="358" s="1"/>
  <c r="AJ46" i="359"/>
  <c r="AK46" i="359" s="1"/>
  <c r="AJ20" i="359"/>
  <c r="AK20" i="359" s="1"/>
  <c r="AJ48" i="356"/>
  <c r="AK48" i="356" s="1"/>
  <c r="AC7" i="357"/>
  <c r="AC78" i="357" s="1"/>
  <c r="U7" i="357"/>
  <c r="U78" i="357" s="1"/>
  <c r="M7" i="357"/>
  <c r="M78" i="357" s="1"/>
  <c r="E7" i="357"/>
  <c r="E78" i="357" s="1"/>
  <c r="AB6" i="357"/>
  <c r="T6" i="357"/>
  <c r="L6" i="357"/>
  <c r="D6" i="357"/>
  <c r="AG7" i="357"/>
  <c r="AG78" i="357" s="1"/>
  <c r="X7" i="357"/>
  <c r="X78" i="357" s="1"/>
  <c r="O7" i="357"/>
  <c r="O78" i="357" s="1"/>
  <c r="F7" i="357"/>
  <c r="F78" i="357" s="1"/>
  <c r="AA6" i="357"/>
  <c r="R6" i="357"/>
  <c r="I6" i="357"/>
  <c r="AF7" i="357"/>
  <c r="AF78" i="357" s="1"/>
  <c r="W7" i="357"/>
  <c r="W78" i="357" s="1"/>
  <c r="N7" i="357"/>
  <c r="N78" i="357" s="1"/>
  <c r="D7" i="357"/>
  <c r="D78" i="357" s="1"/>
  <c r="Z6" i="357"/>
  <c r="Q6" i="357"/>
  <c r="H6" i="357"/>
  <c r="AE7" i="357"/>
  <c r="AE78" i="357" s="1"/>
  <c r="V7" i="357"/>
  <c r="V78" i="357" s="1"/>
  <c r="L7" i="357"/>
  <c r="L78" i="357" s="1"/>
  <c r="C7" i="357"/>
  <c r="C78" i="357" s="1"/>
  <c r="Y6" i="357"/>
  <c r="P6" i="357"/>
  <c r="G6" i="357"/>
  <c r="N6" i="357"/>
  <c r="AD6" i="357"/>
  <c r="K7" i="357"/>
  <c r="K78" i="357" s="1"/>
  <c r="AA7" i="357"/>
  <c r="AA78" i="357" s="1"/>
  <c r="AJ10" i="357"/>
  <c r="AJ21" i="356"/>
  <c r="AE6" i="357"/>
  <c r="AB7" i="357"/>
  <c r="AB78" i="357" s="1"/>
  <c r="T6" i="358"/>
  <c r="AI50" i="359"/>
  <c r="AJ12" i="359"/>
  <c r="G8" i="360"/>
  <c r="AJ36" i="356"/>
  <c r="AK36" i="356" s="1"/>
  <c r="F6" i="357"/>
  <c r="V6" i="357"/>
  <c r="G7" i="357"/>
  <c r="G78" i="357" s="1"/>
  <c r="S7" i="357"/>
  <c r="S78" i="357" s="1"/>
  <c r="AJ10" i="353"/>
  <c r="AK10" i="353" s="1"/>
  <c r="AJ14" i="353"/>
  <c r="AK14" i="353" s="1"/>
  <c r="AJ18" i="353"/>
  <c r="AK18" i="353" s="1"/>
  <c r="AJ11" i="356"/>
  <c r="AJ20" i="356"/>
  <c r="AK20" i="356" s="1"/>
  <c r="AJ31" i="356"/>
  <c r="AK31" i="356" s="1"/>
  <c r="AJ42" i="356"/>
  <c r="AK42" i="356" s="1"/>
  <c r="J6" i="357"/>
  <c r="W6" i="357"/>
  <c r="H7" i="357"/>
  <c r="H78" i="357" s="1"/>
  <c r="T7" i="357"/>
  <c r="T78" i="357" s="1"/>
  <c r="AJ11" i="357"/>
  <c r="AK11" i="357" s="1"/>
  <c r="AJ44" i="357"/>
  <c r="AK44" i="357" s="1"/>
  <c r="I6" i="358"/>
  <c r="AB6" i="358"/>
  <c r="O7" i="358"/>
  <c r="O78" i="358" s="1"/>
  <c r="AG7" i="358"/>
  <c r="AG78" i="358" s="1"/>
  <c r="AQ50" i="359"/>
  <c r="AJ39" i="359"/>
  <c r="AK39" i="359" s="1"/>
  <c r="AJ14" i="361"/>
  <c r="AK14" i="361" s="1"/>
  <c r="AJ35" i="361"/>
  <c r="AK35" i="361" s="1"/>
  <c r="O8" i="362"/>
  <c r="Z8" i="362"/>
  <c r="AJ37" i="352"/>
  <c r="AK37" i="352" s="1"/>
  <c r="AJ24" i="354"/>
  <c r="AJ26" i="354"/>
  <c r="AJ19" i="355"/>
  <c r="AK19" i="355" s="1"/>
  <c r="AJ40" i="355"/>
  <c r="AK40" i="355" s="1"/>
  <c r="AJ32" i="356"/>
  <c r="AK32" i="356" s="1"/>
  <c r="AJ37" i="356"/>
  <c r="AK37" i="356" s="1"/>
  <c r="AJ22" i="359"/>
  <c r="AK22" i="359" s="1"/>
  <c r="AJ48" i="353"/>
  <c r="AK48" i="353" s="1"/>
  <c r="AJ12" i="356"/>
  <c r="AJ29" i="356"/>
  <c r="AK29" i="356" s="1"/>
  <c r="AJ43" i="356"/>
  <c r="AK43" i="356" s="1"/>
  <c r="AJ22" i="357"/>
  <c r="AK22" i="357" s="1"/>
  <c r="AJ38" i="357"/>
  <c r="AK38" i="357" s="1"/>
  <c r="AJ19" i="359"/>
  <c r="AK19" i="359" s="1"/>
  <c r="AQ50" i="360"/>
  <c r="AJ11" i="353"/>
  <c r="AK11" i="353" s="1"/>
  <c r="AJ38" i="354"/>
  <c r="AK38" i="354" s="1"/>
  <c r="AJ23" i="355"/>
  <c r="AK23" i="355" s="1"/>
  <c r="AJ26" i="355"/>
  <c r="AK26" i="355" s="1"/>
  <c r="AJ19" i="356"/>
  <c r="AK19" i="356" s="1"/>
  <c r="AJ46" i="356"/>
  <c r="AK46" i="356" s="1"/>
  <c r="AJ16" i="357"/>
  <c r="AJ32" i="357"/>
  <c r="AK32" i="357" s="1"/>
  <c r="AJ48" i="357"/>
  <c r="AK48" i="357" s="1"/>
  <c r="AJ10" i="359"/>
  <c r="AJ36" i="361"/>
  <c r="AK36" i="361" s="1"/>
  <c r="AI50" i="361"/>
  <c r="AI50" i="362"/>
  <c r="AJ27" i="354"/>
  <c r="AK27" i="354" s="1"/>
  <c r="AJ49" i="355"/>
  <c r="AK49" i="355" s="1"/>
  <c r="AJ38" i="356"/>
  <c r="AK38" i="356" s="1"/>
  <c r="AJ49" i="356"/>
  <c r="AK49" i="356" s="1"/>
  <c r="AH50" i="359"/>
  <c r="AC7" i="361"/>
  <c r="AC78" i="361" s="1"/>
  <c r="U7" i="361"/>
  <c r="U78" i="361" s="1"/>
  <c r="M7" i="361"/>
  <c r="M78" i="361" s="1"/>
  <c r="E7" i="361"/>
  <c r="E78" i="361" s="1"/>
  <c r="AB6" i="361"/>
  <c r="T6" i="361"/>
  <c r="L6" i="361"/>
  <c r="D6" i="361"/>
  <c r="AD7" i="361"/>
  <c r="AD78" i="361" s="1"/>
  <c r="T7" i="361"/>
  <c r="T78" i="361" s="1"/>
  <c r="K7" i="361"/>
  <c r="K78" i="361" s="1"/>
  <c r="AG6" i="361"/>
  <c r="X6" i="361"/>
  <c r="O6" i="361"/>
  <c r="F6" i="361"/>
  <c r="AB7" i="361"/>
  <c r="AB78" i="361" s="1"/>
  <c r="S7" i="361"/>
  <c r="S78" i="361" s="1"/>
  <c r="J7" i="361"/>
  <c r="J78" i="361" s="1"/>
  <c r="AF6" i="361"/>
  <c r="W6" i="361"/>
  <c r="N6" i="361"/>
  <c r="E6" i="361"/>
  <c r="AA7" i="361"/>
  <c r="AA78" i="361" s="1"/>
  <c r="R7" i="361"/>
  <c r="R78" i="361" s="1"/>
  <c r="I7" i="361"/>
  <c r="I78" i="361" s="1"/>
  <c r="AE6" i="361"/>
  <c r="V6" i="361"/>
  <c r="M6" i="361"/>
  <c r="C6" i="361"/>
  <c r="Y7" i="361"/>
  <c r="Y78" i="361" s="1"/>
  <c r="L7" i="361"/>
  <c r="L78" i="361" s="1"/>
  <c r="AA6" i="361"/>
  <c r="K6" i="361"/>
  <c r="X7" i="361"/>
  <c r="X78" i="361" s="1"/>
  <c r="H7" i="361"/>
  <c r="H78" i="361" s="1"/>
  <c r="Z6" i="361"/>
  <c r="J6" i="361"/>
  <c r="W7" i="361"/>
  <c r="W78" i="361" s="1"/>
  <c r="G7" i="361"/>
  <c r="G78" i="361" s="1"/>
  <c r="Y6" i="361"/>
  <c r="I6" i="361"/>
  <c r="U6" i="361"/>
  <c r="P7" i="361"/>
  <c r="P78" i="361" s="1"/>
  <c r="AJ12" i="361"/>
  <c r="AK12" i="361" s="1"/>
  <c r="AJ10" i="362"/>
  <c r="I6" i="359"/>
  <c r="Q6" i="359"/>
  <c r="Y6" i="359"/>
  <c r="AG6" i="359"/>
  <c r="J7" i="359"/>
  <c r="J78" i="359" s="1"/>
  <c r="R7" i="359"/>
  <c r="R78" i="359" s="1"/>
  <c r="Z7" i="359"/>
  <c r="Z78" i="359" s="1"/>
  <c r="AC6" i="361"/>
  <c r="Q7" i="361"/>
  <c r="Q78" i="361" s="1"/>
  <c r="AQ50" i="361"/>
  <c r="AC7" i="360"/>
  <c r="AC78" i="360" s="1"/>
  <c r="U7" i="360"/>
  <c r="U78" i="360" s="1"/>
  <c r="M7" i="360"/>
  <c r="M78" i="360" s="1"/>
  <c r="E7" i="360"/>
  <c r="E78" i="360" s="1"/>
  <c r="AB6" i="360"/>
  <c r="T6" i="360"/>
  <c r="L6" i="360"/>
  <c r="D6" i="360"/>
  <c r="J6" i="360"/>
  <c r="S6" i="360"/>
  <c r="AC6" i="360"/>
  <c r="G7" i="360"/>
  <c r="G78" i="360" s="1"/>
  <c r="P7" i="360"/>
  <c r="P78" i="360" s="1"/>
  <c r="Y7" i="360"/>
  <c r="Y78" i="360" s="1"/>
  <c r="AJ13" i="361"/>
  <c r="AK13" i="361" s="1"/>
  <c r="AJ28" i="361"/>
  <c r="AK28" i="361" s="1"/>
  <c r="C6" i="360"/>
  <c r="M6" i="360"/>
  <c r="V6" i="360"/>
  <c r="AE6" i="360"/>
  <c r="I7" i="360"/>
  <c r="I78" i="360" s="1"/>
  <c r="R7" i="360"/>
  <c r="R78" i="360" s="1"/>
  <c r="AA7" i="360"/>
  <c r="AA78" i="360" s="1"/>
  <c r="AH50" i="361"/>
  <c r="AJ10" i="361"/>
  <c r="AJ22" i="361"/>
  <c r="AK22" i="361" s="1"/>
  <c r="AJ30" i="361"/>
  <c r="AK30" i="361" s="1"/>
  <c r="AJ33" i="361"/>
  <c r="AK33" i="361" s="1"/>
  <c r="AJ43" i="362"/>
  <c r="AK43" i="362" s="1"/>
  <c r="AJ18" i="361"/>
  <c r="AK18" i="361" s="1"/>
  <c r="AJ34" i="361"/>
  <c r="AK34" i="361" s="1"/>
  <c r="AJ43" i="361"/>
  <c r="AK43" i="361" s="1"/>
  <c r="AJ28" i="362"/>
  <c r="AK28" i="362" s="1"/>
  <c r="AJ44" i="362"/>
  <c r="AK44" i="362" s="1"/>
  <c r="AJ18" i="362"/>
  <c r="AK18" i="362" s="1"/>
  <c r="AJ24" i="362"/>
  <c r="AK24" i="362" s="1"/>
  <c r="AJ34" i="362"/>
  <c r="AK34" i="362" s="1"/>
  <c r="AJ39" i="362"/>
  <c r="AK39" i="362" s="1"/>
  <c r="AJ17" i="362"/>
  <c r="AK17" i="362" s="1"/>
  <c r="AG7" i="362"/>
  <c r="AG78" i="362" s="1"/>
  <c r="Y7" i="362"/>
  <c r="Y78" i="362" s="1"/>
  <c r="Q7" i="362"/>
  <c r="Q78" i="362" s="1"/>
  <c r="I7" i="362"/>
  <c r="I78" i="362" s="1"/>
  <c r="AF6" i="362"/>
  <c r="X6" i="362"/>
  <c r="P6" i="362"/>
  <c r="H6" i="362"/>
  <c r="J6" i="362"/>
  <c r="S6" i="362"/>
  <c r="AB6" i="362"/>
  <c r="F7" i="362"/>
  <c r="F78" i="362" s="1"/>
  <c r="O7" i="362"/>
  <c r="O78" i="362" s="1"/>
  <c r="X7" i="362"/>
  <c r="X78" i="362" s="1"/>
  <c r="AQ50" i="362"/>
  <c r="AH50" i="362"/>
  <c r="AJ13" i="362"/>
  <c r="AK13" i="362" s="1"/>
  <c r="AJ29" i="362"/>
  <c r="AK29" i="362" s="1"/>
  <c r="AJ45" i="362"/>
  <c r="AK45" i="362" s="1"/>
  <c r="AJ20" i="355"/>
  <c r="AK20" i="355" s="1"/>
  <c r="AJ20" i="354"/>
  <c r="AK20" i="354" s="1"/>
  <c r="AI50" i="356"/>
  <c r="AJ10" i="356"/>
  <c r="AJ14" i="355"/>
  <c r="AK14" i="355" s="1"/>
  <c r="AJ28" i="356"/>
  <c r="AK28" i="356" s="1"/>
  <c r="AJ47" i="355"/>
  <c r="AK47" i="355" s="1"/>
  <c r="AJ28" i="353"/>
  <c r="AK28" i="353" s="1"/>
  <c r="AJ30" i="353"/>
  <c r="AK30" i="353" s="1"/>
  <c r="AJ32" i="353"/>
  <c r="AK32" i="353" s="1"/>
  <c r="AJ13" i="355"/>
  <c r="AK13" i="355" s="1"/>
  <c r="AJ27" i="355"/>
  <c r="AK27" i="355" s="1"/>
  <c r="AJ41" i="355"/>
  <c r="AK41" i="355" s="1"/>
  <c r="AJ16" i="356"/>
  <c r="AK16" i="356" s="1"/>
  <c r="AJ14" i="356"/>
  <c r="AJ22" i="353"/>
  <c r="AK22" i="353" s="1"/>
  <c r="AJ46" i="354"/>
  <c r="AK46" i="354" s="1"/>
  <c r="AJ16" i="355"/>
  <c r="AK16" i="355" s="1"/>
  <c r="AJ34" i="356"/>
  <c r="AK34" i="356" s="1"/>
  <c r="AJ11" i="354"/>
  <c r="AK11" i="354" s="1"/>
  <c r="AJ32" i="354"/>
  <c r="AK32" i="354" s="1"/>
  <c r="AJ39" i="355"/>
  <c r="AK39" i="355" s="1"/>
  <c r="AJ40" i="353"/>
  <c r="AK40" i="353" s="1"/>
  <c r="AJ12" i="354"/>
  <c r="AK12" i="354" s="1"/>
  <c r="AJ14" i="354"/>
  <c r="AJ28" i="354"/>
  <c r="AK28" i="354" s="1"/>
  <c r="AJ29" i="355"/>
  <c r="AK29" i="355" s="1"/>
  <c r="AJ43" i="355"/>
  <c r="AK43" i="355" s="1"/>
  <c r="AJ48" i="355"/>
  <c r="AK48" i="355" s="1"/>
  <c r="AJ36" i="353"/>
  <c r="AK36" i="353" s="1"/>
  <c r="AJ21" i="354"/>
  <c r="AK21" i="354" s="1"/>
  <c r="AJ30" i="354"/>
  <c r="AK30" i="354" s="1"/>
  <c r="AJ41" i="354"/>
  <c r="AK41" i="354" s="1"/>
  <c r="AJ13" i="356"/>
  <c r="AK13" i="356" s="1"/>
  <c r="AJ18" i="356"/>
  <c r="AK18" i="356" s="1"/>
  <c r="AJ25" i="356"/>
  <c r="AK25" i="356" s="1"/>
  <c r="AJ27" i="356"/>
  <c r="AK27" i="356" s="1"/>
  <c r="AJ30" i="356"/>
  <c r="AK30" i="356" s="1"/>
  <c r="AJ47" i="354"/>
  <c r="AK47" i="354" s="1"/>
  <c r="AJ15" i="355"/>
  <c r="AQ50" i="356"/>
  <c r="AJ23" i="356"/>
  <c r="AK23" i="356" s="1"/>
  <c r="AJ39" i="356"/>
  <c r="AK39" i="356" s="1"/>
  <c r="AJ39" i="354"/>
  <c r="AK39" i="354" s="1"/>
  <c r="AJ44" i="354"/>
  <c r="AK44" i="354" s="1"/>
  <c r="AJ49" i="354"/>
  <c r="AK49" i="354" s="1"/>
  <c r="AJ11" i="355"/>
  <c r="AK11" i="355" s="1"/>
  <c r="AJ21" i="355"/>
  <c r="AK21" i="355" s="1"/>
  <c r="AJ46" i="355"/>
  <c r="AK46" i="355" s="1"/>
  <c r="AG7" i="356"/>
  <c r="AG78" i="356" s="1"/>
  <c r="Y7" i="356"/>
  <c r="Y78" i="356" s="1"/>
  <c r="Q7" i="356"/>
  <c r="Q78" i="356" s="1"/>
  <c r="I7" i="356"/>
  <c r="I78" i="356" s="1"/>
  <c r="AF6" i="356"/>
  <c r="X6" i="356"/>
  <c r="P6" i="356"/>
  <c r="H6" i="356"/>
  <c r="J6" i="356"/>
  <c r="S6" i="356"/>
  <c r="AB6" i="356"/>
  <c r="F7" i="356"/>
  <c r="F78" i="356" s="1"/>
  <c r="O7" i="356"/>
  <c r="O78" i="356" s="1"/>
  <c r="X7" i="356"/>
  <c r="X78" i="356" s="1"/>
  <c r="AH50" i="356"/>
  <c r="AJ34" i="354"/>
  <c r="AK34" i="354" s="1"/>
  <c r="AJ19" i="354"/>
  <c r="AK19" i="354" s="1"/>
  <c r="AI50" i="355"/>
  <c r="AJ27" i="353"/>
  <c r="AK27" i="353" s="1"/>
  <c r="AC8" i="355"/>
  <c r="AQ50" i="355"/>
  <c r="AJ25" i="354"/>
  <c r="AK25" i="354" s="1"/>
  <c r="AH50" i="355"/>
  <c r="AJ10" i="355"/>
  <c r="AJ16" i="354"/>
  <c r="AJ20" i="353"/>
  <c r="AK20" i="353" s="1"/>
  <c r="AJ18" i="354"/>
  <c r="AJ31" i="354"/>
  <c r="AK31" i="354" s="1"/>
  <c r="AJ13" i="354"/>
  <c r="AK13" i="354" s="1"/>
  <c r="AJ43" i="354"/>
  <c r="AK43" i="354" s="1"/>
  <c r="AJ24" i="355"/>
  <c r="AK24" i="355" s="1"/>
  <c r="AJ31" i="355"/>
  <c r="AK31" i="355" s="1"/>
  <c r="AJ43" i="353"/>
  <c r="AK43" i="353" s="1"/>
  <c r="AJ12" i="355"/>
  <c r="AK12" i="355" s="1"/>
  <c r="AJ33" i="355"/>
  <c r="AK33" i="355" s="1"/>
  <c r="AJ35" i="355"/>
  <c r="AK35" i="355" s="1"/>
  <c r="AJ38" i="355"/>
  <c r="AK38" i="355" s="1"/>
  <c r="AJ47" i="352"/>
  <c r="AK47" i="352" s="1"/>
  <c r="AJ29" i="354"/>
  <c r="AK29" i="354" s="1"/>
  <c r="H6" i="355"/>
  <c r="P6" i="355"/>
  <c r="X6" i="355"/>
  <c r="AF6" i="355"/>
  <c r="J7" i="355"/>
  <c r="J78" i="355" s="1"/>
  <c r="S7" i="355"/>
  <c r="S78" i="355" s="1"/>
  <c r="AJ36" i="354"/>
  <c r="AK36" i="354" s="1"/>
  <c r="AJ42" i="354"/>
  <c r="AK42" i="354" s="1"/>
  <c r="AG7" i="355"/>
  <c r="AG78" i="355" s="1"/>
  <c r="Y7" i="355"/>
  <c r="Y78" i="355" s="1"/>
  <c r="Q7" i="355"/>
  <c r="Q78" i="355" s="1"/>
  <c r="I7" i="355"/>
  <c r="I78" i="355" s="1"/>
  <c r="I6" i="355"/>
  <c r="Q6" i="355"/>
  <c r="Y6" i="355"/>
  <c r="AG6" i="355"/>
  <c r="K7" i="355"/>
  <c r="K78" i="355" s="1"/>
  <c r="T7" i="355"/>
  <c r="T78" i="355" s="1"/>
  <c r="AC7" i="355"/>
  <c r="AC78" i="355" s="1"/>
  <c r="AJ17" i="355"/>
  <c r="AK17" i="355" s="1"/>
  <c r="AJ44" i="352"/>
  <c r="AK44" i="352" s="1"/>
  <c r="AJ15" i="353"/>
  <c r="AJ47" i="353"/>
  <c r="AK47" i="353" s="1"/>
  <c r="AJ41" i="353"/>
  <c r="AK41" i="353" s="1"/>
  <c r="AJ22" i="354"/>
  <c r="AK22" i="354" s="1"/>
  <c r="AJ49" i="353"/>
  <c r="AK49" i="353" s="1"/>
  <c r="AA8" i="354"/>
  <c r="AJ38" i="353"/>
  <c r="AK38" i="353" s="1"/>
  <c r="AJ19" i="352"/>
  <c r="AK19" i="352" s="1"/>
  <c r="AJ31" i="353"/>
  <c r="AK31" i="353" s="1"/>
  <c r="AJ46" i="353"/>
  <c r="AK46" i="353" s="1"/>
  <c r="AH50" i="354"/>
  <c r="AJ10" i="354"/>
  <c r="AJ17" i="353"/>
  <c r="AJ46" i="352"/>
  <c r="AK46" i="352" s="1"/>
  <c r="AJ34" i="353"/>
  <c r="AK34" i="353" s="1"/>
  <c r="AJ23" i="354"/>
  <c r="AJ35" i="354"/>
  <c r="AK35" i="354" s="1"/>
  <c r="AJ37" i="354"/>
  <c r="AK37" i="354" s="1"/>
  <c r="AJ40" i="354"/>
  <c r="AK40" i="354" s="1"/>
  <c r="AJ16" i="353"/>
  <c r="AK16" i="353" s="1"/>
  <c r="AI50" i="354"/>
  <c r="AJ12" i="352"/>
  <c r="AK12" i="352" s="1"/>
  <c r="AJ48" i="352"/>
  <c r="AK48" i="352" s="1"/>
  <c r="AJ33" i="353"/>
  <c r="AK33" i="353" s="1"/>
  <c r="AJ45" i="353"/>
  <c r="AK45" i="353" s="1"/>
  <c r="AQ50" i="354"/>
  <c r="AJ17" i="354"/>
  <c r="AK17" i="354" s="1"/>
  <c r="AJ33" i="354"/>
  <c r="AK33" i="354" s="1"/>
  <c r="AJ45" i="352"/>
  <c r="AK45" i="352" s="1"/>
  <c r="AJ13" i="353"/>
  <c r="AK13" i="353" s="1"/>
  <c r="AJ29" i="353"/>
  <c r="AK29" i="353" s="1"/>
  <c r="I6" i="354"/>
  <c r="Q6" i="354"/>
  <c r="Y6" i="354"/>
  <c r="AG6" i="354"/>
  <c r="J7" i="354"/>
  <c r="J78" i="354" s="1"/>
  <c r="R7" i="354"/>
  <c r="R78" i="354" s="1"/>
  <c r="AJ26" i="353"/>
  <c r="AK26" i="353" s="1"/>
  <c r="AJ32" i="352"/>
  <c r="AK32" i="352" s="1"/>
  <c r="R6" i="353"/>
  <c r="L7" i="353"/>
  <c r="L78" i="353" s="1"/>
  <c r="AJ23" i="353"/>
  <c r="AJ26" i="352"/>
  <c r="AK26" i="352" s="1"/>
  <c r="AJ18" i="352"/>
  <c r="AK18" i="352" s="1"/>
  <c r="AJ36" i="352"/>
  <c r="AK36" i="352" s="1"/>
  <c r="S6" i="353"/>
  <c r="AJ21" i="353"/>
  <c r="AK21" i="353" s="1"/>
  <c r="AJ38" i="352"/>
  <c r="AK38" i="352" s="1"/>
  <c r="AE7" i="353"/>
  <c r="AE78" i="353" s="1"/>
  <c r="W7" i="353"/>
  <c r="W78" i="353" s="1"/>
  <c r="O7" i="353"/>
  <c r="O78" i="353" s="1"/>
  <c r="G7" i="353"/>
  <c r="G78" i="353" s="1"/>
  <c r="AD6" i="353"/>
  <c r="V6" i="353"/>
  <c r="N6" i="353"/>
  <c r="F6" i="353"/>
  <c r="V7" i="353"/>
  <c r="V78" i="353" s="1"/>
  <c r="AC6" i="353"/>
  <c r="AD7" i="353"/>
  <c r="AD78" i="353" s="1"/>
  <c r="N7" i="353"/>
  <c r="N78" i="353" s="1"/>
  <c r="F7" i="353"/>
  <c r="F78" i="353" s="1"/>
  <c r="U6" i="353"/>
  <c r="AC7" i="353"/>
  <c r="AC78" i="353" s="1"/>
  <c r="U7" i="353"/>
  <c r="U78" i="353" s="1"/>
  <c r="M7" i="353"/>
  <c r="M78" i="353" s="1"/>
  <c r="E7" i="353"/>
  <c r="E78" i="353" s="1"/>
  <c r="AB6" i="353"/>
  <c r="T6" i="353"/>
  <c r="L6" i="353"/>
  <c r="D6" i="353"/>
  <c r="Y7" i="353"/>
  <c r="Y78" i="353" s="1"/>
  <c r="K7" i="353"/>
  <c r="K78" i="353" s="1"/>
  <c r="AE6" i="353"/>
  <c r="Q6" i="353"/>
  <c r="G6" i="353"/>
  <c r="H7" i="353"/>
  <c r="H78" i="353" s="1"/>
  <c r="M6" i="353"/>
  <c r="X7" i="353"/>
  <c r="X78" i="353" s="1"/>
  <c r="J7" i="353"/>
  <c r="J78" i="353" s="1"/>
  <c r="AA6" i="353"/>
  <c r="P6" i="353"/>
  <c r="E6" i="353"/>
  <c r="T7" i="353"/>
  <c r="T78" i="353" s="1"/>
  <c r="I7" i="353"/>
  <c r="I78" i="353" s="1"/>
  <c r="Z6" i="353"/>
  <c r="O6" i="353"/>
  <c r="C6" i="353"/>
  <c r="AG7" i="353"/>
  <c r="AG78" i="353" s="1"/>
  <c r="S7" i="353"/>
  <c r="S78" i="353" s="1"/>
  <c r="Y6" i="353"/>
  <c r="W6" i="353"/>
  <c r="Q7" i="353"/>
  <c r="Q78" i="353" s="1"/>
  <c r="AI50" i="353"/>
  <c r="AJ44" i="353"/>
  <c r="AK44" i="353" s="1"/>
  <c r="AJ20" i="352"/>
  <c r="AK20" i="352" s="1"/>
  <c r="AH50" i="353"/>
  <c r="AJ25" i="353"/>
  <c r="AJ37" i="353"/>
  <c r="AK37" i="353" s="1"/>
  <c r="AJ39" i="353"/>
  <c r="AK39" i="353" s="1"/>
  <c r="AJ42" i="353"/>
  <c r="AK42" i="353" s="1"/>
  <c r="AJ12" i="353"/>
  <c r="AK12" i="353" s="1"/>
  <c r="AJ14" i="352"/>
  <c r="AK14" i="352" s="1"/>
  <c r="AJ21" i="352"/>
  <c r="AK21" i="352" s="1"/>
  <c r="AJ34" i="352"/>
  <c r="AK34" i="352" s="1"/>
  <c r="AJ49" i="352"/>
  <c r="AK49" i="352" s="1"/>
  <c r="AJ19" i="353"/>
  <c r="AK19" i="353" s="1"/>
  <c r="AJ35" i="353"/>
  <c r="AK35" i="353" s="1"/>
  <c r="AJ22" i="352"/>
  <c r="AK22" i="352" s="1"/>
  <c r="AJ41" i="352"/>
  <c r="AK41" i="352" s="1"/>
  <c r="AQ50" i="353"/>
  <c r="AI50" i="352"/>
  <c r="AJ10" i="352"/>
  <c r="AJ27" i="352"/>
  <c r="AK27" i="352" s="1"/>
  <c r="AJ30" i="352"/>
  <c r="AK30" i="352" s="1"/>
  <c r="AJ33" i="352"/>
  <c r="AK33" i="352" s="1"/>
  <c r="AJ42" i="352"/>
  <c r="AK42" i="352" s="1"/>
  <c r="AJ43" i="352"/>
  <c r="AK43" i="352" s="1"/>
  <c r="AJ23" i="352"/>
  <c r="AJ35" i="352"/>
  <c r="AK35" i="352" s="1"/>
  <c r="AJ40" i="352"/>
  <c r="AK40" i="352" s="1"/>
  <c r="AJ24" i="352"/>
  <c r="AK24" i="352" s="1"/>
  <c r="AJ11" i="352"/>
  <c r="AK11" i="352" s="1"/>
  <c r="AJ17" i="352"/>
  <c r="AJ25" i="352"/>
  <c r="AJ28" i="352"/>
  <c r="AK28" i="352" s="1"/>
  <c r="AJ31" i="352"/>
  <c r="AK31" i="352" s="1"/>
  <c r="AJ39" i="352"/>
  <c r="AK39" i="352" s="1"/>
  <c r="AG7" i="352"/>
  <c r="AG78" i="352" s="1"/>
  <c r="Y7" i="352"/>
  <c r="Y78" i="352" s="1"/>
  <c r="Q7" i="352"/>
  <c r="Q78" i="352" s="1"/>
  <c r="I7" i="352"/>
  <c r="I78" i="352" s="1"/>
  <c r="AF6" i="352"/>
  <c r="X6" i="352"/>
  <c r="P6" i="352"/>
  <c r="H6" i="352"/>
  <c r="J6" i="352"/>
  <c r="S6" i="352"/>
  <c r="AB6" i="352"/>
  <c r="F7" i="352"/>
  <c r="F78" i="352" s="1"/>
  <c r="O7" i="352"/>
  <c r="O78" i="352" s="1"/>
  <c r="X7" i="352"/>
  <c r="X78" i="352" s="1"/>
  <c r="AQ50" i="352"/>
  <c r="K6" i="352"/>
  <c r="T6" i="352"/>
  <c r="AC6" i="352"/>
  <c r="G7" i="352"/>
  <c r="G78" i="352" s="1"/>
  <c r="P7" i="352"/>
  <c r="P78" i="352" s="1"/>
  <c r="Z7" i="352"/>
  <c r="Z78" i="352" s="1"/>
  <c r="AH50" i="352"/>
  <c r="AJ29" i="352"/>
  <c r="AK29" i="352" s="1"/>
  <c r="AJ31" i="330"/>
  <c r="AK31" i="330" s="1"/>
  <c r="AJ42" i="330"/>
  <c r="AK42" i="330" s="1"/>
  <c r="AJ38" i="330"/>
  <c r="AK38" i="330" s="1"/>
  <c r="AJ43" i="330"/>
  <c r="AK43" i="330" s="1"/>
  <c r="AJ17" i="330"/>
  <c r="AJ33" i="330"/>
  <c r="AK33" i="330" s="1"/>
  <c r="AJ37" i="330"/>
  <c r="AK37" i="330" s="1"/>
  <c r="AJ45" i="330"/>
  <c r="AK45" i="330" s="1"/>
  <c r="AJ36" i="330"/>
  <c r="AK36" i="330" s="1"/>
  <c r="AJ47" i="330"/>
  <c r="AK47" i="330" s="1"/>
  <c r="AJ49" i="330"/>
  <c r="AK49" i="330" s="1"/>
  <c r="AJ41" i="330"/>
  <c r="AK41" i="330" s="1"/>
  <c r="AJ40" i="330"/>
  <c r="AK40" i="330" s="1"/>
  <c r="AJ46" i="330"/>
  <c r="AK46" i="330" s="1"/>
  <c r="AJ44" i="330"/>
  <c r="AK44" i="330" s="1"/>
  <c r="AJ48" i="330"/>
  <c r="AK48" i="330" s="1"/>
  <c r="AJ39" i="330"/>
  <c r="AK39" i="330" s="1"/>
  <c r="G7" i="330"/>
  <c r="G78" i="330" s="1"/>
  <c r="AE6" i="330"/>
  <c r="AG6" i="330"/>
  <c r="C7" i="330"/>
  <c r="C78" i="330" s="1"/>
  <c r="F7" i="330"/>
  <c r="F78" i="330" s="1"/>
  <c r="C6" i="330"/>
  <c r="C8" i="330" s="1"/>
  <c r="H7" i="330"/>
  <c r="H78" i="330" s="1"/>
  <c r="E6" i="330"/>
  <c r="E8" i="330" s="1"/>
  <c r="AJ24" i="330"/>
  <c r="AJ30" i="330"/>
  <c r="AK30" i="330" s="1"/>
  <c r="AJ34" i="330"/>
  <c r="AK34" i="330" s="1"/>
  <c r="AJ15" i="330"/>
  <c r="AJ25" i="330"/>
  <c r="AJ32" i="330"/>
  <c r="AK32" i="330" s="1"/>
  <c r="AI50" i="330"/>
  <c r="AJ11" i="330"/>
  <c r="AK11" i="330" s="1"/>
  <c r="AJ35" i="330"/>
  <c r="AK35" i="330" s="1"/>
  <c r="AJ14" i="330"/>
  <c r="AA7" i="330"/>
  <c r="AA78" i="330" s="1"/>
  <c r="K7" i="330"/>
  <c r="K78" i="330" s="1"/>
  <c r="Z6" i="330"/>
  <c r="J6" i="330"/>
  <c r="AB7" i="330"/>
  <c r="AB78" i="330" s="1"/>
  <c r="L7" i="330"/>
  <c r="L78" i="330" s="1"/>
  <c r="AA6" i="330"/>
  <c r="K6" i="330"/>
  <c r="U7" i="330"/>
  <c r="U78" i="330" s="1"/>
  <c r="E7" i="330"/>
  <c r="E78" i="330" s="1"/>
  <c r="T6" i="330"/>
  <c r="D6" i="330"/>
  <c r="AG7" i="330"/>
  <c r="AG78" i="330" s="1"/>
  <c r="Q7" i="330"/>
  <c r="Q78" i="330" s="1"/>
  <c r="AF6" i="330"/>
  <c r="P6" i="330"/>
  <c r="AE7" i="330"/>
  <c r="AE78" i="330" s="1"/>
  <c r="O7" i="330"/>
  <c r="O78" i="330" s="1"/>
  <c r="AD6" i="330"/>
  <c r="N6" i="330"/>
  <c r="AD7" i="330"/>
  <c r="AD78" i="330" s="1"/>
  <c r="N7" i="330"/>
  <c r="N78" i="330" s="1"/>
  <c r="AC6" i="330"/>
  <c r="M6" i="330"/>
  <c r="AC7" i="330"/>
  <c r="AC78" i="330" s="1"/>
  <c r="M7" i="330"/>
  <c r="M78" i="330" s="1"/>
  <c r="AB6" i="330"/>
  <c r="L6" i="330"/>
  <c r="Y6" i="330"/>
  <c r="X7" i="330"/>
  <c r="X78" i="330" s="1"/>
  <c r="AJ19" i="330"/>
  <c r="AK19" i="330" s="1"/>
  <c r="F6" i="330"/>
  <c r="D7" i="330"/>
  <c r="D78" i="330" s="1"/>
  <c r="AJ12" i="330"/>
  <c r="AJ13" i="330"/>
  <c r="AK13" i="330" s="1"/>
  <c r="AJ22" i="330"/>
  <c r="AK22" i="330" s="1"/>
  <c r="X8" i="330"/>
  <c r="AQ50" i="330"/>
  <c r="AJ28" i="330"/>
  <c r="AK28" i="330" s="1"/>
  <c r="G8" i="330"/>
  <c r="AJ16" i="330"/>
  <c r="O6" i="330"/>
  <c r="I7" i="330"/>
  <c r="I78" i="330" s="1"/>
  <c r="Q6" i="330"/>
  <c r="J7" i="330"/>
  <c r="J78" i="330" s="1"/>
  <c r="AJ10" i="330"/>
  <c r="AH50" i="330"/>
  <c r="AJ18" i="330"/>
  <c r="AJ20" i="330"/>
  <c r="AJ26" i="330"/>
  <c r="AJ23" i="330"/>
  <c r="AJ29" i="330"/>
  <c r="AK29" i="330" s="1"/>
  <c r="AJ21" i="330"/>
  <c r="AJ27" i="330"/>
  <c r="AK27" i="330" s="1"/>
  <c r="AK15" i="330" l="1"/>
  <c r="S8" i="361"/>
  <c r="M8" i="359"/>
  <c r="S8" i="354"/>
  <c r="AF8" i="360"/>
  <c r="D8" i="355"/>
  <c r="M8" i="355"/>
  <c r="AE8" i="330"/>
  <c r="T8" i="354"/>
  <c r="J8" i="354"/>
  <c r="AD8" i="355"/>
  <c r="U8" i="355"/>
  <c r="Q8" i="356"/>
  <c r="C8" i="356"/>
  <c r="K8" i="362"/>
  <c r="V8" i="354"/>
  <c r="S8" i="355"/>
  <c r="C8" i="362"/>
  <c r="R8" i="359"/>
  <c r="AK21" i="361"/>
  <c r="AK19" i="361"/>
  <c r="AK12" i="360"/>
  <c r="AK19" i="360"/>
  <c r="AK12" i="359"/>
  <c r="AK13" i="359"/>
  <c r="AK14" i="359"/>
  <c r="AK23" i="358"/>
  <c r="AK17" i="358"/>
  <c r="AK21" i="358"/>
  <c r="AK26" i="357"/>
  <c r="AK16" i="357"/>
  <c r="AK25" i="355"/>
  <c r="AK15" i="355"/>
  <c r="AK23" i="354"/>
  <c r="AK16" i="354"/>
  <c r="AK26" i="354"/>
  <c r="AK24" i="354"/>
  <c r="AK15" i="354"/>
  <c r="AK14" i="354"/>
  <c r="AK18" i="354"/>
  <c r="AK17" i="353"/>
  <c r="AK25" i="353"/>
  <c r="AK23" i="353"/>
  <c r="AK15" i="353"/>
  <c r="AK25" i="352"/>
  <c r="AK17" i="352"/>
  <c r="AK23" i="352"/>
  <c r="AK18" i="330"/>
  <c r="AK17" i="330"/>
  <c r="AK25" i="330"/>
  <c r="AK21" i="356"/>
  <c r="AK12" i="356"/>
  <c r="AK14" i="356"/>
  <c r="AK11" i="356"/>
  <c r="N8" i="352"/>
  <c r="E8" i="352"/>
  <c r="AA8" i="352"/>
  <c r="Y8" i="352"/>
  <c r="AE8" i="352"/>
  <c r="F8" i="352"/>
  <c r="O8" i="352"/>
  <c r="AD8" i="352"/>
  <c r="L8" i="354"/>
  <c r="AE8" i="354"/>
  <c r="AC8" i="354"/>
  <c r="W8" i="354"/>
  <c r="U8" i="354"/>
  <c r="O8" i="354"/>
  <c r="N8" i="354"/>
  <c r="AB8" i="354"/>
  <c r="F8" i="354"/>
  <c r="AD8" i="354"/>
  <c r="V8" i="355"/>
  <c r="L8" i="355"/>
  <c r="O8" i="355"/>
  <c r="W8" i="355"/>
  <c r="AA8" i="355"/>
  <c r="E8" i="355"/>
  <c r="AE8" i="355"/>
  <c r="Y8" i="356"/>
  <c r="N8" i="356"/>
  <c r="E8" i="356"/>
  <c r="AE8" i="356"/>
  <c r="O8" i="356"/>
  <c r="U8" i="356"/>
  <c r="AE8" i="359"/>
  <c r="T8" i="359"/>
  <c r="O8" i="359"/>
  <c r="AB8" i="359"/>
  <c r="Z8" i="359"/>
  <c r="F8" i="359"/>
  <c r="E8" i="359"/>
  <c r="U8" i="359"/>
  <c r="G8" i="359"/>
  <c r="V8" i="359"/>
  <c r="AF8" i="359"/>
  <c r="X8" i="359"/>
  <c r="W8" i="359"/>
  <c r="S8" i="359"/>
  <c r="X8" i="360"/>
  <c r="K8" i="360"/>
  <c r="Z8" i="360"/>
  <c r="Y8" i="360"/>
  <c r="G8" i="361"/>
  <c r="U8" i="362"/>
  <c r="AG8" i="362"/>
  <c r="AE8" i="362"/>
  <c r="L8" i="362"/>
  <c r="P8" i="362"/>
  <c r="AJ50" i="362"/>
  <c r="AK10" i="362"/>
  <c r="AK50" i="362" s="1"/>
  <c r="C8" i="361"/>
  <c r="AB8" i="361"/>
  <c r="I8" i="358"/>
  <c r="E8" i="358"/>
  <c r="F8" i="358"/>
  <c r="P8" i="358"/>
  <c r="Z8" i="358"/>
  <c r="M8" i="360"/>
  <c r="W8" i="361"/>
  <c r="S8" i="358"/>
  <c r="AF8" i="362"/>
  <c r="J8" i="360"/>
  <c r="AJ50" i="359"/>
  <c r="AK10" i="359"/>
  <c r="AD8" i="357"/>
  <c r="I8" i="357"/>
  <c r="L8" i="357"/>
  <c r="S8" i="357"/>
  <c r="W8" i="358"/>
  <c r="X8" i="358"/>
  <c r="AG8" i="359"/>
  <c r="K8" i="361"/>
  <c r="AE8" i="358"/>
  <c r="S8" i="362"/>
  <c r="T8" i="360"/>
  <c r="Y8" i="359"/>
  <c r="Y8" i="361"/>
  <c r="AA8" i="361"/>
  <c r="D8" i="361"/>
  <c r="W8" i="357"/>
  <c r="P8" i="357"/>
  <c r="Z8" i="357"/>
  <c r="C8" i="358"/>
  <c r="E8" i="357"/>
  <c r="AJ50" i="358"/>
  <c r="AK10" i="358"/>
  <c r="AC8" i="360"/>
  <c r="J8" i="361"/>
  <c r="X8" i="361"/>
  <c r="V8" i="357"/>
  <c r="X8" i="362"/>
  <c r="S8" i="360"/>
  <c r="Z8" i="361"/>
  <c r="AG8" i="361"/>
  <c r="AF8" i="357"/>
  <c r="N8" i="358"/>
  <c r="O8" i="358"/>
  <c r="Y8" i="358"/>
  <c r="C8" i="360"/>
  <c r="V8" i="361"/>
  <c r="D8" i="358"/>
  <c r="AE8" i="357"/>
  <c r="H8" i="357"/>
  <c r="AJ50" i="360"/>
  <c r="AK10" i="360"/>
  <c r="AG8" i="357"/>
  <c r="AB8" i="362"/>
  <c r="I8" i="361"/>
  <c r="U8" i="358"/>
  <c r="U8" i="357"/>
  <c r="J8" i="362"/>
  <c r="AB8" i="360"/>
  <c r="Q8" i="359"/>
  <c r="F8" i="361"/>
  <c r="L8" i="361"/>
  <c r="J8" i="357"/>
  <c r="Y8" i="357"/>
  <c r="AA8" i="358"/>
  <c r="J8" i="358"/>
  <c r="O8" i="357"/>
  <c r="V8" i="360"/>
  <c r="N8" i="361"/>
  <c r="M8" i="361"/>
  <c r="F8" i="357"/>
  <c r="T8" i="358"/>
  <c r="D8" i="357"/>
  <c r="AK10" i="361"/>
  <c r="AJ50" i="361"/>
  <c r="AF8" i="361"/>
  <c r="D8" i="360"/>
  <c r="U8" i="361"/>
  <c r="AE8" i="361"/>
  <c r="N8" i="357"/>
  <c r="R8" i="357"/>
  <c r="T8" i="357"/>
  <c r="C8" i="357"/>
  <c r="V8" i="358"/>
  <c r="AF8" i="358"/>
  <c r="AG8" i="358"/>
  <c r="L8" i="360"/>
  <c r="G8" i="357"/>
  <c r="Q8" i="357"/>
  <c r="AA8" i="357"/>
  <c r="AB8" i="357"/>
  <c r="H8" i="362"/>
  <c r="AE8" i="360"/>
  <c r="AC8" i="361"/>
  <c r="I8" i="359"/>
  <c r="E8" i="361"/>
  <c r="O8" i="361"/>
  <c r="T8" i="361"/>
  <c r="AB8" i="358"/>
  <c r="AJ50" i="357"/>
  <c r="AK10" i="357"/>
  <c r="H8" i="358"/>
  <c r="M8" i="358"/>
  <c r="G8" i="358"/>
  <c r="R8" i="358"/>
  <c r="AF8" i="356"/>
  <c r="X8" i="356"/>
  <c r="S8" i="356"/>
  <c r="J8" i="356"/>
  <c r="AJ50" i="356"/>
  <c r="AK10" i="356"/>
  <c r="AB8" i="356"/>
  <c r="H8" i="356"/>
  <c r="P8" i="356"/>
  <c r="Q8" i="355"/>
  <c r="X8" i="355"/>
  <c r="Y8" i="355"/>
  <c r="I8" i="355"/>
  <c r="P8" i="355"/>
  <c r="AF8" i="355"/>
  <c r="AJ50" i="355"/>
  <c r="AK10" i="355"/>
  <c r="H8" i="355"/>
  <c r="AG8" i="355"/>
  <c r="AJ50" i="354"/>
  <c r="AK10" i="354"/>
  <c r="AG8" i="354"/>
  <c r="Y8" i="354"/>
  <c r="Q8" i="354"/>
  <c r="I8" i="354"/>
  <c r="S8" i="353"/>
  <c r="D8" i="353"/>
  <c r="Z8" i="353"/>
  <c r="L8" i="353"/>
  <c r="AD8" i="353"/>
  <c r="T8" i="353"/>
  <c r="AJ50" i="353"/>
  <c r="AE8" i="353"/>
  <c r="F8" i="353"/>
  <c r="W8" i="353"/>
  <c r="G8" i="353"/>
  <c r="AB8" i="353"/>
  <c r="P8" i="353"/>
  <c r="AA8" i="353"/>
  <c r="C8" i="353"/>
  <c r="N8" i="353"/>
  <c r="O8" i="353"/>
  <c r="U8" i="353"/>
  <c r="V8" i="353"/>
  <c r="R8" i="353"/>
  <c r="M8" i="353"/>
  <c r="Y8" i="353"/>
  <c r="E8" i="353"/>
  <c r="Q8" i="353"/>
  <c r="AC8" i="353"/>
  <c r="AJ50" i="352"/>
  <c r="AK10" i="352"/>
  <c r="J8" i="352"/>
  <c r="K8" i="352"/>
  <c r="H8" i="352"/>
  <c r="P8" i="352"/>
  <c r="T8" i="352"/>
  <c r="X8" i="352"/>
  <c r="AF8" i="352"/>
  <c r="AC8" i="352"/>
  <c r="S8" i="352"/>
  <c r="AB8" i="352"/>
  <c r="AK20" i="330"/>
  <c r="AK12" i="330"/>
  <c r="AK24" i="330"/>
  <c r="AK26" i="330"/>
  <c r="AK23" i="330"/>
  <c r="AK14" i="330"/>
  <c r="AK16" i="330"/>
  <c r="AK21" i="330"/>
  <c r="AG8" i="330"/>
  <c r="P8" i="330"/>
  <c r="AF8" i="330"/>
  <c r="AJ50" i="330"/>
  <c r="AK10" i="330"/>
  <c r="Y8" i="330"/>
  <c r="Q8" i="330"/>
  <c r="L8" i="330"/>
  <c r="D8" i="330"/>
  <c r="AB8" i="330"/>
  <c r="T8" i="330"/>
  <c r="O8" i="330"/>
  <c r="M8" i="330"/>
  <c r="K8" i="330"/>
  <c r="AC8" i="330"/>
  <c r="AA8" i="330"/>
  <c r="F8" i="330"/>
  <c r="N8" i="330"/>
  <c r="J8" i="330"/>
  <c r="AD8" i="330"/>
  <c r="Z8" i="330"/>
  <c r="AV45" i="354" l="1" a="1"/>
  <c r="AV45" i="354" s="1"/>
  <c r="AV12" i="354" a="1"/>
  <c r="AV12" i="354" s="1"/>
  <c r="AV36" i="355" a="1"/>
  <c r="AV36" i="355" s="1"/>
  <c r="AV20" i="355" a="1"/>
  <c r="AV20" i="355" s="1"/>
  <c r="AV21" i="330" a="1"/>
  <c r="AV21" i="330" s="1"/>
  <c r="AV46" i="362" a="1"/>
  <c r="AV46" i="362" s="1"/>
  <c r="AV37" i="362" a="1"/>
  <c r="AV37" i="362" s="1"/>
  <c r="AV41" i="352" a="1"/>
  <c r="AV41" i="352" s="1"/>
  <c r="AV13" i="352" a="1"/>
  <c r="AV13" i="352" s="1"/>
  <c r="AV44" i="352" a="1"/>
  <c r="AV44" i="352" s="1"/>
  <c r="AV33" i="354" a="1"/>
  <c r="AV33" i="354" s="1"/>
  <c r="AV40" i="359" a="1"/>
  <c r="AV40" i="359" s="1"/>
  <c r="AV44" i="356" a="1"/>
  <c r="AV44" i="356" s="1"/>
  <c r="AV49" i="354" a="1"/>
  <c r="AV49" i="354" s="1"/>
  <c r="AK50" i="353"/>
  <c r="AK50" i="355"/>
  <c r="AK50" i="361"/>
  <c r="AK50" i="360"/>
  <c r="AK50" i="359"/>
  <c r="AK50" i="358"/>
  <c r="AK50" i="357"/>
  <c r="AK50" i="354"/>
  <c r="AK50" i="352"/>
  <c r="AK50" i="356"/>
  <c r="AV45" i="352" a="1"/>
  <c r="AV45" i="352" s="1"/>
  <c r="AV31" i="352" a="1"/>
  <c r="AV31" i="352" s="1"/>
  <c r="AV20" i="352" a="1"/>
  <c r="AV20" i="352" s="1"/>
  <c r="AV22" i="354" a="1"/>
  <c r="AV22" i="354" s="1"/>
  <c r="AV48" i="354" a="1"/>
  <c r="AV48" i="354" s="1"/>
  <c r="AV31" i="354" a="1"/>
  <c r="AV31" i="354" s="1"/>
  <c r="AV40" i="354" a="1"/>
  <c r="AV40" i="354" s="1"/>
  <c r="AV20" i="354" a="1"/>
  <c r="AV20" i="354" s="1"/>
  <c r="AV41" i="354" a="1"/>
  <c r="AV41" i="354" s="1"/>
  <c r="AV16" i="354" a="1"/>
  <c r="AV16" i="354" s="1"/>
  <c r="AV26" i="355" a="1"/>
  <c r="AV26" i="355" s="1"/>
  <c r="AV10" i="355" a="1"/>
  <c r="AV10" i="355" s="1"/>
  <c r="AV47" i="355" a="1"/>
  <c r="AV47" i="355" s="1"/>
  <c r="AV11" i="355" a="1"/>
  <c r="AV11" i="355" s="1"/>
  <c r="AV34" i="355" a="1"/>
  <c r="AV34" i="355" s="1"/>
  <c r="AV31" i="355" a="1"/>
  <c r="AV31" i="355" s="1"/>
  <c r="AV40" i="355" a="1"/>
  <c r="AV40" i="355" s="1"/>
  <c r="AV31" i="356" a="1"/>
  <c r="AV31" i="356" s="1"/>
  <c r="AV33" i="356" a="1"/>
  <c r="AV33" i="356" s="1"/>
  <c r="AV41" i="362" a="1"/>
  <c r="AV41" i="362" s="1"/>
  <c r="AV38" i="362" a="1"/>
  <c r="AV38" i="362" s="1"/>
  <c r="AV44" i="362" a="1"/>
  <c r="AV44" i="362" s="1"/>
  <c r="AV49" i="362" a="1"/>
  <c r="AV49" i="362" s="1"/>
  <c r="AV43" i="362" a="1"/>
  <c r="AV43" i="362" s="1"/>
  <c r="AV32" i="359" a="1"/>
  <c r="AV32" i="359" s="1"/>
  <c r="AV31" i="359" a="1"/>
  <c r="AV31" i="359" s="1"/>
  <c r="AV18" i="359" a="1"/>
  <c r="AV18" i="359" s="1"/>
  <c r="AV26" i="359" a="1"/>
  <c r="AV26" i="359" s="1"/>
  <c r="AV38" i="359" a="1"/>
  <c r="AV38" i="359" s="1"/>
  <c r="AV39" i="359" a="1"/>
  <c r="AV39" i="359" s="1"/>
  <c r="AV20" i="359" a="1"/>
  <c r="AV20" i="359" s="1"/>
  <c r="AV48" i="359" a="1"/>
  <c r="AV48" i="359" s="1"/>
  <c r="AV41" i="359" a="1"/>
  <c r="AV41" i="359" s="1"/>
  <c r="AV33" i="359" a="1"/>
  <c r="AV33" i="359" s="1"/>
  <c r="AV11" i="359" a="1"/>
  <c r="AV11" i="359" s="1"/>
  <c r="AV43" i="359" a="1"/>
  <c r="AV43" i="359" s="1"/>
  <c r="AV21" i="359" a="1"/>
  <c r="AV21" i="359" s="1"/>
  <c r="AV19" i="359" a="1"/>
  <c r="AV19" i="359" s="1"/>
  <c r="AV16" i="359" a="1"/>
  <c r="AV16" i="359" s="1"/>
  <c r="AV49" i="359" a="1"/>
  <c r="AV49" i="359" s="1"/>
  <c r="AV28" i="359" a="1"/>
  <c r="AV28" i="359" s="1"/>
  <c r="AV13" i="359" a="1"/>
  <c r="AV13" i="359" s="1"/>
  <c r="AV24" i="359" a="1"/>
  <c r="AV24" i="359" s="1"/>
  <c r="AV34" i="359" a="1"/>
  <c r="AV34" i="359" s="1"/>
  <c r="AV12" i="359" a="1"/>
  <c r="AV12" i="359" s="1"/>
  <c r="AV16" i="362" a="1"/>
  <c r="AV16" i="362" s="1"/>
  <c r="AV24" i="362" a="1"/>
  <c r="AV24" i="362" s="1"/>
  <c r="AV14" i="359" a="1"/>
  <c r="AV14" i="359" s="1"/>
  <c r="AV37" i="359" a="1"/>
  <c r="AV37" i="359" s="1"/>
  <c r="AV27" i="359" a="1"/>
  <c r="AV27" i="359" s="1"/>
  <c r="AV44" i="359" a="1"/>
  <c r="AV44" i="359" s="1"/>
  <c r="AV49" i="357" a="1"/>
  <c r="AV49" i="357" s="1"/>
  <c r="AV40" i="357" a="1"/>
  <c r="AV40" i="357" s="1"/>
  <c r="AV33" i="357" a="1"/>
  <c r="AV33" i="357" s="1"/>
  <c r="AV24" i="357" a="1"/>
  <c r="AV24" i="357" s="1"/>
  <c r="AV17" i="357" a="1"/>
  <c r="AV17" i="357" s="1"/>
  <c r="AV46" i="357" a="1"/>
  <c r="AV46" i="357" s="1"/>
  <c r="AV39" i="357" a="1"/>
  <c r="AV39" i="357" s="1"/>
  <c r="AV30" i="357" a="1"/>
  <c r="AV30" i="357" s="1"/>
  <c r="AV23" i="357" a="1"/>
  <c r="AV23" i="357" s="1"/>
  <c r="AV14" i="357" a="1"/>
  <c r="AV14" i="357" s="1"/>
  <c r="AV45" i="357" a="1"/>
  <c r="AV45" i="357" s="1"/>
  <c r="AV36" i="357" a="1"/>
  <c r="AV36" i="357" s="1"/>
  <c r="AV29" i="357" a="1"/>
  <c r="AV29" i="357" s="1"/>
  <c r="AV20" i="357" a="1"/>
  <c r="AV20" i="357" s="1"/>
  <c r="AV13" i="357" a="1"/>
  <c r="AV13" i="357" s="1"/>
  <c r="AV44" i="357" a="1"/>
  <c r="AV44" i="357" s="1"/>
  <c r="AV11" i="357" a="1"/>
  <c r="AV11" i="357" s="1"/>
  <c r="AV27" i="357" a="1"/>
  <c r="AV27" i="357" s="1"/>
  <c r="AV21" i="357" a="1"/>
  <c r="AV21" i="357" s="1"/>
  <c r="AV10" i="357" a="1"/>
  <c r="AV10" i="357" s="1"/>
  <c r="AV37" i="357" a="1"/>
  <c r="AV37" i="357" s="1"/>
  <c r="AV18" i="357" a="1"/>
  <c r="AV18" i="357" s="1"/>
  <c r="AV41" i="357" a="1"/>
  <c r="AV41" i="357" s="1"/>
  <c r="AV31" i="357" a="1"/>
  <c r="AV31" i="357" s="1"/>
  <c r="AV34" i="357" a="1"/>
  <c r="AV34" i="357" s="1"/>
  <c r="AV19" i="357" a="1"/>
  <c r="AV19" i="357" s="1"/>
  <c r="AV25" i="357" a="1"/>
  <c r="AV25" i="357" s="1"/>
  <c r="AV15" i="357" a="1"/>
  <c r="AV15" i="357" s="1"/>
  <c r="AV43" i="357" a="1"/>
  <c r="AV43" i="357" s="1"/>
  <c r="AV35" i="357" a="1"/>
  <c r="AV35" i="357" s="1"/>
  <c r="AV22" i="357" a="1"/>
  <c r="AV22" i="357" s="1"/>
  <c r="AV48" i="357" a="1"/>
  <c r="AV48" i="357" s="1"/>
  <c r="AV47" i="357" a="1"/>
  <c r="AV47" i="357" s="1"/>
  <c r="AV16" i="357" a="1"/>
  <c r="AV16" i="357" s="1"/>
  <c r="AV12" i="357" a="1"/>
  <c r="AV12" i="357" s="1"/>
  <c r="AV26" i="357" a="1"/>
  <c r="AV26" i="357" s="1"/>
  <c r="AV38" i="357" a="1"/>
  <c r="AV38" i="357" s="1"/>
  <c r="AV32" i="357" a="1"/>
  <c r="AV32" i="357" s="1"/>
  <c r="AV28" i="357" a="1"/>
  <c r="AV28" i="357" s="1"/>
  <c r="AV42" i="357" a="1"/>
  <c r="AV42" i="357" s="1"/>
  <c r="AV47" i="362" a="1"/>
  <c r="AV47" i="362" s="1"/>
  <c r="AV18" i="362" a="1"/>
  <c r="AV18" i="362" s="1"/>
  <c r="AV23" i="362" a="1"/>
  <c r="AV23" i="362" s="1"/>
  <c r="AV17" i="362" a="1"/>
  <c r="AV17" i="362" s="1"/>
  <c r="AV36" i="362" a="1"/>
  <c r="AV36" i="362" s="1"/>
  <c r="AV40" i="362" a="1"/>
  <c r="AV40" i="362" s="1"/>
  <c r="AV47" i="359" a="1"/>
  <c r="AV47" i="359" s="1"/>
  <c r="AV12" i="362" a="1"/>
  <c r="AV12" i="362" s="1"/>
  <c r="AV15" i="362" a="1"/>
  <c r="AV15" i="362" s="1"/>
  <c r="AV25" i="359" a="1"/>
  <c r="AV25" i="359" s="1"/>
  <c r="AV49" i="358" a="1"/>
  <c r="AV49" i="358" s="1"/>
  <c r="AV47" i="358" a="1"/>
  <c r="AV47" i="358" s="1"/>
  <c r="AV45" i="358" a="1"/>
  <c r="AV45" i="358" s="1"/>
  <c r="AV43" i="358" a="1"/>
  <c r="AV43" i="358" s="1"/>
  <c r="AV41" i="358" a="1"/>
  <c r="AV41" i="358" s="1"/>
  <c r="AV39" i="358" a="1"/>
  <c r="AV39" i="358" s="1"/>
  <c r="AV37" i="358" a="1"/>
  <c r="AV37" i="358" s="1"/>
  <c r="AV35" i="358" a="1"/>
  <c r="AV35" i="358" s="1"/>
  <c r="AV33" i="358" a="1"/>
  <c r="AV33" i="358" s="1"/>
  <c r="AV31" i="358" a="1"/>
  <c r="AV31" i="358" s="1"/>
  <c r="AV29" i="358" a="1"/>
  <c r="AV29" i="358" s="1"/>
  <c r="AV27" i="358" a="1"/>
  <c r="AV27" i="358" s="1"/>
  <c r="AV25" i="358" a="1"/>
  <c r="AV25" i="358" s="1"/>
  <c r="AV23" i="358" a="1"/>
  <c r="AV23" i="358" s="1"/>
  <c r="AV21" i="358" a="1"/>
  <c r="AV21" i="358" s="1"/>
  <c r="AV19" i="358" a="1"/>
  <c r="AV19" i="358" s="1"/>
  <c r="AV17" i="358" a="1"/>
  <c r="AV17" i="358" s="1"/>
  <c r="AV15" i="358" a="1"/>
  <c r="AV15" i="358" s="1"/>
  <c r="AV13" i="358" a="1"/>
  <c r="AV13" i="358" s="1"/>
  <c r="AV11" i="358" a="1"/>
  <c r="AV11" i="358" s="1"/>
  <c r="AV46" i="358" a="1"/>
  <c r="AV46" i="358" s="1"/>
  <c r="AV12" i="358" a="1"/>
  <c r="AV12" i="358" s="1"/>
  <c r="AV22" i="358" a="1"/>
  <c r="AV22" i="358" s="1"/>
  <c r="AV40" i="358" a="1"/>
  <c r="AV40" i="358" s="1"/>
  <c r="AV36" i="358" a="1"/>
  <c r="AV36" i="358" s="1"/>
  <c r="AV32" i="358" a="1"/>
  <c r="AV32" i="358" s="1"/>
  <c r="AV28" i="358" a="1"/>
  <c r="AV28" i="358" s="1"/>
  <c r="AV10" i="358" a="1"/>
  <c r="AV10" i="358" s="1"/>
  <c r="AV24" i="358" a="1"/>
  <c r="AV24" i="358" s="1"/>
  <c r="AV44" i="358" a="1"/>
  <c r="AV44" i="358" s="1"/>
  <c r="AV42" i="358" a="1"/>
  <c r="AV42" i="358" s="1"/>
  <c r="AV48" i="358" a="1"/>
  <c r="AV48" i="358" s="1"/>
  <c r="AV34" i="358" a="1"/>
  <c r="AV34" i="358" s="1"/>
  <c r="AV30" i="358" a="1"/>
  <c r="AV30" i="358" s="1"/>
  <c r="AV20" i="358" a="1"/>
  <c r="AV20" i="358" s="1"/>
  <c r="AV18" i="358" a="1"/>
  <c r="AV18" i="358" s="1"/>
  <c r="AV38" i="358" a="1"/>
  <c r="AV38" i="358" s="1"/>
  <c r="AV14" i="358" a="1"/>
  <c r="AV14" i="358" s="1"/>
  <c r="AV16" i="358" a="1"/>
  <c r="AV16" i="358" s="1"/>
  <c r="AV26" i="358" a="1"/>
  <c r="AV26" i="358" s="1"/>
  <c r="AV23" i="359" a="1"/>
  <c r="AV23" i="359" s="1"/>
  <c r="AV10" i="362" a="1"/>
  <c r="AV10" i="362" s="1"/>
  <c r="AV20" i="362" a="1"/>
  <c r="AV20" i="362" s="1"/>
  <c r="AV31" i="362" a="1"/>
  <c r="AV31" i="362" s="1"/>
  <c r="AV30" i="359" a="1"/>
  <c r="AV30" i="359" s="1"/>
  <c r="AV25" i="362" a="1"/>
  <c r="AV25" i="362" s="1"/>
  <c r="AV14" i="362" a="1"/>
  <c r="AV14" i="362" s="1"/>
  <c r="AV45" i="362" a="1"/>
  <c r="AV45" i="362" s="1"/>
  <c r="AV36" i="359" a="1"/>
  <c r="AV36" i="359" s="1"/>
  <c r="AV48" i="362" a="1"/>
  <c r="AV48" i="362" s="1"/>
  <c r="AV26" i="362" a="1"/>
  <c r="AV26" i="362" s="1"/>
  <c r="AV39" i="362" a="1"/>
  <c r="AV39" i="362" s="1"/>
  <c r="AV42" i="359" a="1"/>
  <c r="AV42" i="359" s="1"/>
  <c r="AV17" i="359" a="1"/>
  <c r="AV17" i="359" s="1"/>
  <c r="AV15" i="359" a="1"/>
  <c r="AV15" i="359" s="1"/>
  <c r="AV13" i="362" a="1"/>
  <c r="AV13" i="362" s="1"/>
  <c r="AV22" i="362" a="1"/>
  <c r="AV22" i="362" s="1"/>
  <c r="AV27" i="362" a="1"/>
  <c r="AV27" i="362" s="1"/>
  <c r="AV10" i="359" a="1"/>
  <c r="AV10" i="359" s="1"/>
  <c r="AV22" i="359" a="1"/>
  <c r="AV22" i="359" s="1"/>
  <c r="AV19" i="362" a="1"/>
  <c r="AV19" i="362" s="1"/>
  <c r="AV21" i="362" a="1"/>
  <c r="AV21" i="362" s="1"/>
  <c r="AV42" i="362" a="1"/>
  <c r="AV42" i="362" s="1"/>
  <c r="AV48" i="360" a="1"/>
  <c r="AV48" i="360" s="1"/>
  <c r="AV44" i="360" a="1"/>
  <c r="AV44" i="360" s="1"/>
  <c r="AV40" i="360" a="1"/>
  <c r="AV40" i="360" s="1"/>
  <c r="AV36" i="360" a="1"/>
  <c r="AV36" i="360" s="1"/>
  <c r="AV32" i="360" a="1"/>
  <c r="AV32" i="360" s="1"/>
  <c r="AV28" i="360" a="1"/>
  <c r="AV28" i="360" s="1"/>
  <c r="AV24" i="360" a="1"/>
  <c r="AV24" i="360" s="1"/>
  <c r="AV21" i="360" a="1"/>
  <c r="AV21" i="360" s="1"/>
  <c r="AV19" i="360" a="1"/>
  <c r="AV19" i="360" s="1"/>
  <c r="AV17" i="360" a="1"/>
  <c r="AV17" i="360" s="1"/>
  <c r="AV15" i="360" a="1"/>
  <c r="AV15" i="360" s="1"/>
  <c r="AV13" i="360" a="1"/>
  <c r="AV13" i="360" s="1"/>
  <c r="AV45" i="360" a="1"/>
  <c r="AV45" i="360" s="1"/>
  <c r="AV43" i="360" a="1"/>
  <c r="AV43" i="360" s="1"/>
  <c r="AV42" i="360" a="1"/>
  <c r="AV42" i="360" s="1"/>
  <c r="AV37" i="360" a="1"/>
  <c r="AV37" i="360" s="1"/>
  <c r="AV35" i="360" a="1"/>
  <c r="AV35" i="360" s="1"/>
  <c r="AV34" i="360" a="1"/>
  <c r="AV34" i="360" s="1"/>
  <c r="AV29" i="360" a="1"/>
  <c r="AV29" i="360" s="1"/>
  <c r="AV27" i="360" a="1"/>
  <c r="AV27" i="360" s="1"/>
  <c r="AV26" i="360" a="1"/>
  <c r="AV26" i="360" s="1"/>
  <c r="AV20" i="360" a="1"/>
  <c r="AV20" i="360" s="1"/>
  <c r="AV16" i="360" a="1"/>
  <c r="AV16" i="360" s="1"/>
  <c r="AV11" i="360" a="1"/>
  <c r="AV11" i="360" s="1"/>
  <c r="AV47" i="360" a="1"/>
  <c r="AV47" i="360" s="1"/>
  <c r="AV10" i="360" a="1"/>
  <c r="AV10" i="360" s="1"/>
  <c r="AV14" i="360" a="1"/>
  <c r="AV14" i="360" s="1"/>
  <c r="AV46" i="360" a="1"/>
  <c r="AV46" i="360" s="1"/>
  <c r="AV39" i="360" a="1"/>
  <c r="AV39" i="360" s="1"/>
  <c r="AV25" i="360" a="1"/>
  <c r="AV25" i="360" s="1"/>
  <c r="AV22" i="360" a="1"/>
  <c r="AV22" i="360" s="1"/>
  <c r="AV41" i="360" a="1"/>
  <c r="AV41" i="360" s="1"/>
  <c r="AV18" i="360" a="1"/>
  <c r="AV18" i="360" s="1"/>
  <c r="AV38" i="360" a="1"/>
  <c r="AV38" i="360" s="1"/>
  <c r="AV12" i="360" a="1"/>
  <c r="AV12" i="360" s="1"/>
  <c r="AV49" i="360" a="1"/>
  <c r="AV49" i="360" s="1"/>
  <c r="AV23" i="360" a="1"/>
  <c r="AV23" i="360" s="1"/>
  <c r="AV33" i="360" a="1"/>
  <c r="AV33" i="360" s="1"/>
  <c r="AV31" i="360" a="1"/>
  <c r="AV31" i="360" s="1"/>
  <c r="AV30" i="360" a="1"/>
  <c r="AV30" i="360" s="1"/>
  <c r="AV47" i="361" a="1"/>
  <c r="AV47" i="361" s="1"/>
  <c r="AV43" i="361" a="1"/>
  <c r="AV43" i="361" s="1"/>
  <c r="AV39" i="361" a="1"/>
  <c r="AV39" i="361" s="1"/>
  <c r="AV46" i="361" a="1"/>
  <c r="AV46" i="361" s="1"/>
  <c r="AV42" i="361" a="1"/>
  <c r="AV42" i="361" s="1"/>
  <c r="AV38" i="361" a="1"/>
  <c r="AV38" i="361" s="1"/>
  <c r="AV35" i="361" a="1"/>
  <c r="AV35" i="361" s="1"/>
  <c r="AV26" i="361" a="1"/>
  <c r="AV26" i="361" s="1"/>
  <c r="AV19" i="361" a="1"/>
  <c r="AV19" i="361" s="1"/>
  <c r="AV10" i="361" a="1"/>
  <c r="AV10" i="361" s="1"/>
  <c r="AV49" i="361" a="1"/>
  <c r="AV49" i="361" s="1"/>
  <c r="AV32" i="361" a="1"/>
  <c r="AV32" i="361" s="1"/>
  <c r="AV25" i="361" a="1"/>
  <c r="AV25" i="361" s="1"/>
  <c r="AV16" i="361" a="1"/>
  <c r="AV16" i="361" s="1"/>
  <c r="AV41" i="361" a="1"/>
  <c r="AV41" i="361" s="1"/>
  <c r="AV31" i="361" a="1"/>
  <c r="AV31" i="361" s="1"/>
  <c r="AV22" i="361" a="1"/>
  <c r="AV22" i="361" s="1"/>
  <c r="AV15" i="361" a="1"/>
  <c r="AV15" i="361" s="1"/>
  <c r="AV48" i="361" a="1"/>
  <c r="AV48" i="361" s="1"/>
  <c r="AV44" i="361" a="1"/>
  <c r="AV44" i="361" s="1"/>
  <c r="AV34" i="361" a="1"/>
  <c r="AV34" i="361" s="1"/>
  <c r="AV30" i="361" a="1"/>
  <c r="AV30" i="361" s="1"/>
  <c r="AV40" i="361" a="1"/>
  <c r="AV40" i="361" s="1"/>
  <c r="AV37" i="361" a="1"/>
  <c r="AV37" i="361" s="1"/>
  <c r="AV13" i="361" a="1"/>
  <c r="AV13" i="361" s="1"/>
  <c r="AV36" i="361" a="1"/>
  <c r="AV36" i="361" s="1"/>
  <c r="AV11" i="361" a="1"/>
  <c r="AV11" i="361" s="1"/>
  <c r="AV28" i="361" a="1"/>
  <c r="AV28" i="361" s="1"/>
  <c r="AV20" i="361" a="1"/>
  <c r="AV20" i="361" s="1"/>
  <c r="AV21" i="361" a="1"/>
  <c r="AV21" i="361" s="1"/>
  <c r="AV12" i="361" a="1"/>
  <c r="AV12" i="361" s="1"/>
  <c r="AV27" i="361" a="1"/>
  <c r="AV27" i="361" s="1"/>
  <c r="AV18" i="361" a="1"/>
  <c r="AV18" i="361" s="1"/>
  <c r="AV23" i="361" a="1"/>
  <c r="AV23" i="361" s="1"/>
  <c r="AV45" i="361" a="1"/>
  <c r="AV45" i="361" s="1"/>
  <c r="AV29" i="361" a="1"/>
  <c r="AV29" i="361" s="1"/>
  <c r="AV24" i="361" a="1"/>
  <c r="AV24" i="361" s="1"/>
  <c r="AV17" i="361" a="1"/>
  <c r="AV17" i="361" s="1"/>
  <c r="AV14" i="361" a="1"/>
  <c r="AV14" i="361" s="1"/>
  <c r="AV33" i="361" a="1"/>
  <c r="AV33" i="361" s="1"/>
  <c r="AV34" i="362" a="1"/>
  <c r="AV34" i="362" s="1"/>
  <c r="AV11" i="362" a="1"/>
  <c r="AV11" i="362" s="1"/>
  <c r="AV45" i="359" a="1"/>
  <c r="AV45" i="359" s="1"/>
  <c r="AV46" i="359" a="1"/>
  <c r="AV46" i="359" s="1"/>
  <c r="AV35" i="359" a="1"/>
  <c r="AV35" i="359" s="1"/>
  <c r="AV32" i="362" a="1"/>
  <c r="AV32" i="362" s="1"/>
  <c r="AV28" i="362" a="1"/>
  <c r="AV28" i="362" s="1"/>
  <c r="AV35" i="362" a="1"/>
  <c r="AV35" i="362" s="1"/>
  <c r="AV33" i="362" a="1"/>
  <c r="AV33" i="362" s="1"/>
  <c r="AV29" i="362" a="1"/>
  <c r="AV29" i="362" s="1"/>
  <c r="AV30" i="362" a="1"/>
  <c r="AV30" i="362" s="1"/>
  <c r="AV29" i="359" a="1"/>
  <c r="AV29" i="359" s="1"/>
  <c r="AV14" i="356" a="1"/>
  <c r="AV14" i="356" s="1"/>
  <c r="AV15" i="356" a="1"/>
  <c r="AV15" i="356" s="1"/>
  <c r="AV43" i="356" a="1"/>
  <c r="AV43" i="356" s="1"/>
  <c r="AV18" i="356" a="1"/>
  <c r="AV18" i="356" s="1"/>
  <c r="AV37" i="356" a="1"/>
  <c r="AV37" i="356" s="1"/>
  <c r="AV26" i="356" a="1"/>
  <c r="AV26" i="356" s="1"/>
  <c r="AV10" i="356" a="1"/>
  <c r="AV10" i="356" s="1"/>
  <c r="AV13" i="356" a="1"/>
  <c r="AV13" i="356" s="1"/>
  <c r="AV47" i="356" a="1"/>
  <c r="AV47" i="356" s="1"/>
  <c r="AV34" i="356" a="1"/>
  <c r="AV34" i="356" s="1"/>
  <c r="AV25" i="356" a="1"/>
  <c r="AV25" i="356" s="1"/>
  <c r="AV21" i="356" a="1"/>
  <c r="AV21" i="356" s="1"/>
  <c r="AV48" i="356" a="1"/>
  <c r="AV48" i="356" s="1"/>
  <c r="AV30" i="356" a="1"/>
  <c r="AV30" i="356" s="1"/>
  <c r="AV24" i="356" a="1"/>
  <c r="AV24" i="356" s="1"/>
  <c r="AV19" i="356" a="1"/>
  <c r="AV19" i="356" s="1"/>
  <c r="AV39" i="356" a="1"/>
  <c r="AV39" i="356" s="1"/>
  <c r="AV23" i="356" a="1"/>
  <c r="AV23" i="356" s="1"/>
  <c r="AV28" i="356" a="1"/>
  <c r="AV28" i="356" s="1"/>
  <c r="AV16" i="356" a="1"/>
  <c r="AV16" i="356" s="1"/>
  <c r="AV35" i="356" a="1"/>
  <c r="AV35" i="356" s="1"/>
  <c r="AV20" i="356" a="1"/>
  <c r="AV20" i="356" s="1"/>
  <c r="AV46" i="356" a="1"/>
  <c r="AV46" i="356" s="1"/>
  <c r="AV27" i="356" a="1"/>
  <c r="AV27" i="356" s="1"/>
  <c r="AV41" i="356" a="1"/>
  <c r="AV41" i="356" s="1"/>
  <c r="AV12" i="356" a="1"/>
  <c r="AV12" i="356" s="1"/>
  <c r="AV11" i="356" a="1"/>
  <c r="AV11" i="356" s="1"/>
  <c r="AV36" i="356" a="1"/>
  <c r="AV36" i="356" s="1"/>
  <c r="AV29" i="356" a="1"/>
  <c r="AV29" i="356" s="1"/>
  <c r="AV17" i="356" a="1"/>
  <c r="AV17" i="356" s="1"/>
  <c r="AV42" i="356" a="1"/>
  <c r="AV42" i="356" s="1"/>
  <c r="AV49" i="356" a="1"/>
  <c r="AV49" i="356" s="1"/>
  <c r="AV38" i="356" a="1"/>
  <c r="AV38" i="356" s="1"/>
  <c r="AV22" i="356" a="1"/>
  <c r="AV22" i="356" s="1"/>
  <c r="AV40" i="356" a="1"/>
  <c r="AV40" i="356" s="1"/>
  <c r="AV45" i="356" a="1"/>
  <c r="AV45" i="356" s="1"/>
  <c r="AV32" i="356" a="1"/>
  <c r="AV32" i="356" s="1"/>
  <c r="AV45" i="355" a="1"/>
  <c r="AV45" i="355" s="1"/>
  <c r="AV17" i="355" a="1"/>
  <c r="AV17" i="355" s="1"/>
  <c r="AV27" i="355" a="1"/>
  <c r="AV27" i="355" s="1"/>
  <c r="AV21" i="355" a="1"/>
  <c r="AV21" i="355" s="1"/>
  <c r="AV13" i="355" a="1"/>
  <c r="AV13" i="355" s="1"/>
  <c r="AV12" i="355" a="1"/>
  <c r="AV12" i="355" s="1"/>
  <c r="AV37" i="355" a="1"/>
  <c r="AV37" i="355" s="1"/>
  <c r="AV42" i="355" a="1"/>
  <c r="AV42" i="355" s="1"/>
  <c r="AV14" i="355" a="1"/>
  <c r="AV14" i="355" s="1"/>
  <c r="AV30" i="355" a="1"/>
  <c r="AV30" i="355" s="1"/>
  <c r="AV22" i="355" a="1"/>
  <c r="AV22" i="355" s="1"/>
  <c r="AV41" i="355" a="1"/>
  <c r="AV41" i="355" s="1"/>
  <c r="AV44" i="355" a="1"/>
  <c r="AV44" i="355" s="1"/>
  <c r="AV24" i="355" a="1"/>
  <c r="AV24" i="355" s="1"/>
  <c r="AV18" i="355" a="1"/>
  <c r="AV18" i="355" s="1"/>
  <c r="AV19" i="355" a="1"/>
  <c r="AV19" i="355" s="1"/>
  <c r="AV15" i="355" a="1"/>
  <c r="AV15" i="355" s="1"/>
  <c r="AV16" i="355" a="1"/>
  <c r="AV16" i="355" s="1"/>
  <c r="AV23" i="355" a="1"/>
  <c r="AV23" i="355" s="1"/>
  <c r="AV43" i="355" a="1"/>
  <c r="AV43" i="355" s="1"/>
  <c r="AV46" i="355" a="1"/>
  <c r="AV46" i="355" s="1"/>
  <c r="AV25" i="355" a="1"/>
  <c r="AV25" i="355" s="1"/>
  <c r="AV28" i="355" a="1"/>
  <c r="AV28" i="355" s="1"/>
  <c r="AV33" i="355" a="1"/>
  <c r="AV33" i="355" s="1"/>
  <c r="AV38" i="355" a="1"/>
  <c r="AV38" i="355" s="1"/>
  <c r="AV49" i="355" a="1"/>
  <c r="AV49" i="355" s="1"/>
  <c r="AV48" i="355" a="1"/>
  <c r="AV48" i="355" s="1"/>
  <c r="AV32" i="355" a="1"/>
  <c r="AV32" i="355" s="1"/>
  <c r="AV29" i="355" a="1"/>
  <c r="AV29" i="355" s="1"/>
  <c r="AV35" i="355" a="1"/>
  <c r="AV35" i="355" s="1"/>
  <c r="AV39" i="355" a="1"/>
  <c r="AV39" i="355" s="1"/>
  <c r="AV43" i="354" a="1"/>
  <c r="AV43" i="354" s="1"/>
  <c r="AV37" i="354" a="1"/>
  <c r="AV37" i="354" s="1"/>
  <c r="AV21" i="354" a="1"/>
  <c r="AV21" i="354" s="1"/>
  <c r="AV39" i="354" a="1"/>
  <c r="AV39" i="354" s="1"/>
  <c r="AV11" i="354" a="1"/>
  <c r="AV11" i="354" s="1"/>
  <c r="AV29" i="354" a="1"/>
  <c r="AV29" i="354" s="1"/>
  <c r="AV35" i="354" a="1"/>
  <c r="AV35" i="354" s="1"/>
  <c r="AV13" i="354" a="1"/>
  <c r="AV13" i="354" s="1"/>
  <c r="AV10" i="354" a="1"/>
  <c r="AV10" i="354" s="1"/>
  <c r="AV30" i="354" a="1"/>
  <c r="AV30" i="354" s="1"/>
  <c r="AV14" i="354" a="1"/>
  <c r="AV14" i="354" s="1"/>
  <c r="AV47" i="354" a="1"/>
  <c r="AV47" i="354" s="1"/>
  <c r="AV26" i="354" a="1"/>
  <c r="AV26" i="354" s="1"/>
  <c r="AV44" i="354" a="1"/>
  <c r="AV44" i="354" s="1"/>
  <c r="AV34" i="354" a="1"/>
  <c r="AV34" i="354" s="1"/>
  <c r="AV38" i="354" a="1"/>
  <c r="AV38" i="354" s="1"/>
  <c r="AV28" i="354" a="1"/>
  <c r="AV28" i="354" s="1"/>
  <c r="AV19" i="354" a="1"/>
  <c r="AV19" i="354" s="1"/>
  <c r="AV36" i="354" a="1"/>
  <c r="AV36" i="354" s="1"/>
  <c r="AV15" i="354" a="1"/>
  <c r="AV15" i="354" s="1"/>
  <c r="AV24" i="354" a="1"/>
  <c r="AV24" i="354" s="1"/>
  <c r="AV27" i="354" a="1"/>
  <c r="AV27" i="354" s="1"/>
  <c r="AV46" i="354" a="1"/>
  <c r="AV46" i="354" s="1"/>
  <c r="AV23" i="354" a="1"/>
  <c r="AV23" i="354" s="1"/>
  <c r="AV32" i="354" a="1"/>
  <c r="AV32" i="354" s="1"/>
  <c r="AV18" i="354" a="1"/>
  <c r="AV18" i="354" s="1"/>
  <c r="AV17" i="354" a="1"/>
  <c r="AV17" i="354" s="1"/>
  <c r="AV25" i="354" a="1"/>
  <c r="AV25" i="354" s="1"/>
  <c r="AV42" i="354" a="1"/>
  <c r="AV42" i="354" s="1"/>
  <c r="AV48" i="353" a="1"/>
  <c r="AV48" i="353" s="1"/>
  <c r="AV46" i="353" a="1"/>
  <c r="AV46" i="353" s="1"/>
  <c r="AV44" i="353" a="1"/>
  <c r="AV44" i="353" s="1"/>
  <c r="AV31" i="353" a="1"/>
  <c r="AV31" i="353" s="1"/>
  <c r="AV30" i="353" a="1"/>
  <c r="AV30" i="353" s="1"/>
  <c r="AV15" i="353" a="1"/>
  <c r="AV15" i="353" s="1"/>
  <c r="AV14" i="353" a="1"/>
  <c r="AV14" i="353" s="1"/>
  <c r="AV49" i="353" a="1"/>
  <c r="AV49" i="353" s="1"/>
  <c r="AV29" i="353" a="1"/>
  <c r="AV29" i="353" s="1"/>
  <c r="AV28" i="353" a="1"/>
  <c r="AV28" i="353" s="1"/>
  <c r="AV13" i="353" a="1"/>
  <c r="AV13" i="353" s="1"/>
  <c r="AV12" i="353" a="1"/>
  <c r="AV12" i="353" s="1"/>
  <c r="AV42" i="353" a="1"/>
  <c r="AV42" i="353" s="1"/>
  <c r="AV27" i="353" a="1"/>
  <c r="AV27" i="353" s="1"/>
  <c r="AV26" i="353" a="1"/>
  <c r="AV26" i="353" s="1"/>
  <c r="AV11" i="353" a="1"/>
  <c r="AV11" i="353" s="1"/>
  <c r="AV10" i="353" a="1"/>
  <c r="AV10" i="353" s="1"/>
  <c r="AV47" i="353" a="1"/>
  <c r="AV47" i="353" s="1"/>
  <c r="AV43" i="353" a="1"/>
  <c r="AV43" i="353" s="1"/>
  <c r="AV41" i="353" a="1"/>
  <c r="AV41" i="353" s="1"/>
  <c r="AV40" i="353" a="1"/>
  <c r="AV40" i="353" s="1"/>
  <c r="AV25" i="353" a="1"/>
  <c r="AV25" i="353" s="1"/>
  <c r="AV24" i="353" a="1"/>
  <c r="AV24" i="353" s="1"/>
  <c r="AV19" i="353" a="1"/>
  <c r="AV19" i="353" s="1"/>
  <c r="AV20" i="353" a="1"/>
  <c r="AV20" i="353" s="1"/>
  <c r="AV39" i="353" a="1"/>
  <c r="AV39" i="353" s="1"/>
  <c r="AV37" i="353" a="1"/>
  <c r="AV37" i="353" s="1"/>
  <c r="AV17" i="353" a="1"/>
  <c r="AV17" i="353" s="1"/>
  <c r="AV38" i="353" a="1"/>
  <c r="AV38" i="353" s="1"/>
  <c r="AV35" i="353" a="1"/>
  <c r="AV35" i="353" s="1"/>
  <c r="AV22" i="353" a="1"/>
  <c r="AV22" i="353" s="1"/>
  <c r="AV33" i="353" a="1"/>
  <c r="AV33" i="353" s="1"/>
  <c r="AV36" i="353" a="1"/>
  <c r="AV36" i="353" s="1"/>
  <c r="AV16" i="353" a="1"/>
  <c r="AV16" i="353" s="1"/>
  <c r="AV34" i="353" a="1"/>
  <c r="AV34" i="353" s="1"/>
  <c r="AV21" i="353" a="1"/>
  <c r="AV21" i="353" s="1"/>
  <c r="AV23" i="353" a="1"/>
  <c r="AV23" i="353" s="1"/>
  <c r="AV32" i="353" a="1"/>
  <c r="AV32" i="353" s="1"/>
  <c r="AV45" i="353" a="1"/>
  <c r="AV45" i="353" s="1"/>
  <c r="AV18" i="353" a="1"/>
  <c r="AV18" i="353" s="1"/>
  <c r="AV16" i="352" a="1"/>
  <c r="AV16" i="352" s="1"/>
  <c r="AV27" i="352" a="1"/>
  <c r="AV27" i="352" s="1"/>
  <c r="AV22" i="352" a="1"/>
  <c r="AV22" i="352" s="1"/>
  <c r="AV14" i="352" a="1"/>
  <c r="AV14" i="352" s="1"/>
  <c r="AV15" i="352" a="1"/>
  <c r="AV15" i="352" s="1"/>
  <c r="AV25" i="352" a="1"/>
  <c r="AV25" i="352" s="1"/>
  <c r="AV33" i="352" a="1"/>
  <c r="AV33" i="352" s="1"/>
  <c r="AV21" i="352" a="1"/>
  <c r="AV21" i="352" s="1"/>
  <c r="AV42" i="352" a="1"/>
  <c r="AV42" i="352" s="1"/>
  <c r="AV28" i="352" a="1"/>
  <c r="AV28" i="352" s="1"/>
  <c r="AV46" i="352" a="1"/>
  <c r="AV46" i="352" s="1"/>
  <c r="AV36" i="352" a="1"/>
  <c r="AV36" i="352" s="1"/>
  <c r="AV12" i="352" a="1"/>
  <c r="AV12" i="352" s="1"/>
  <c r="AV23" i="352" a="1"/>
  <c r="AV23" i="352" s="1"/>
  <c r="AV34" i="352" a="1"/>
  <c r="AV34" i="352" s="1"/>
  <c r="AV29" i="352" a="1"/>
  <c r="AV29" i="352" s="1"/>
  <c r="AV32" i="352" a="1"/>
  <c r="AV32" i="352" s="1"/>
  <c r="AV30" i="352" a="1"/>
  <c r="AV30" i="352" s="1"/>
  <c r="AV17" i="352" a="1"/>
  <c r="AV17" i="352" s="1"/>
  <c r="AV26" i="352" a="1"/>
  <c r="AV26" i="352" s="1"/>
  <c r="AV49" i="352" a="1"/>
  <c r="AV49" i="352" s="1"/>
  <c r="AV43" i="352" a="1"/>
  <c r="AV43" i="352" s="1"/>
  <c r="AV35" i="352" a="1"/>
  <c r="AV35" i="352" s="1"/>
  <c r="AV10" i="352" a="1"/>
  <c r="AV10" i="352" s="1"/>
  <c r="AV37" i="352" a="1"/>
  <c r="AV37" i="352" s="1"/>
  <c r="AV47" i="352" a="1"/>
  <c r="AV47" i="352" s="1"/>
  <c r="AV18" i="352" a="1"/>
  <c r="AV18" i="352" s="1"/>
  <c r="AV48" i="352" a="1"/>
  <c r="AV48" i="352" s="1"/>
  <c r="AV38" i="352" a="1"/>
  <c r="AV38" i="352" s="1"/>
  <c r="AV40" i="352" a="1"/>
  <c r="AV40" i="352" s="1"/>
  <c r="AV19" i="352" a="1"/>
  <c r="AV19" i="352" s="1"/>
  <c r="AV24" i="352" a="1"/>
  <c r="AV24" i="352" s="1"/>
  <c r="AV39" i="352" a="1"/>
  <c r="AV39" i="352" s="1"/>
  <c r="AV11" i="352" a="1"/>
  <c r="AV11" i="352" s="1"/>
  <c r="AK50" i="330"/>
  <c r="AV22" i="330" a="1"/>
  <c r="AV22" i="330" s="1"/>
  <c r="AV43" i="330" a="1"/>
  <c r="AV43" i="330" s="1"/>
  <c r="AV32" i="330" a="1"/>
  <c r="AV32" i="330" s="1"/>
  <c r="AV11" i="330" a="1"/>
  <c r="AV11" i="330" s="1"/>
  <c r="AV14" i="330" a="1"/>
  <c r="AV14" i="330" s="1"/>
  <c r="AV17" i="330" a="1"/>
  <c r="AV17" i="330" s="1"/>
  <c r="AV15" i="330" a="1"/>
  <c r="AV15" i="330" s="1"/>
  <c r="AV10" i="330" a="1"/>
  <c r="AV10" i="330" s="1"/>
  <c r="AV12" i="330" a="1"/>
  <c r="AV12" i="330" s="1"/>
  <c r="AV30" i="330" a="1"/>
  <c r="AV30" i="330" s="1"/>
  <c r="AV40" i="330" a="1"/>
  <c r="AV40" i="330" s="1"/>
  <c r="AV19" i="330" a="1"/>
  <c r="AV19" i="330" s="1"/>
  <c r="AV27" i="330" a="1"/>
  <c r="AV27" i="330" s="1"/>
  <c r="AV36" i="330" a="1"/>
  <c r="AV36" i="330" s="1"/>
  <c r="AV20" i="330" a="1"/>
  <c r="AV20" i="330" s="1"/>
  <c r="AV34" i="330" a="1"/>
  <c r="AV34" i="330" s="1"/>
  <c r="AV44" i="330" a="1"/>
  <c r="AV44" i="330" s="1"/>
  <c r="AV26" i="330" a="1"/>
  <c r="AV26" i="330" s="1"/>
  <c r="AV38" i="330" a="1"/>
  <c r="AV38" i="330" s="1"/>
  <c r="AV48" i="330" a="1"/>
  <c r="AV48" i="330" s="1"/>
  <c r="AV42" i="330" a="1"/>
  <c r="AV42" i="330" s="1"/>
  <c r="AV16" i="330" a="1"/>
  <c r="AV16" i="330" s="1"/>
  <c r="AV23" i="330" a="1"/>
  <c r="AV23" i="330" s="1"/>
  <c r="AV25" i="330" a="1"/>
  <c r="AV25" i="330" s="1"/>
  <c r="AV49" i="330" a="1"/>
  <c r="AV49" i="330" s="1"/>
  <c r="AV29" i="330" a="1"/>
  <c r="AV29" i="330" s="1"/>
  <c r="AV31" i="330" a="1"/>
  <c r="AV31" i="330" s="1"/>
  <c r="AV33" i="330" a="1"/>
  <c r="AV33" i="330" s="1"/>
  <c r="AV35" i="330" a="1"/>
  <c r="AV35" i="330" s="1"/>
  <c r="AV13" i="330" a="1"/>
  <c r="AV13" i="330" s="1"/>
  <c r="AV37" i="330" a="1"/>
  <c r="AV37" i="330" s="1"/>
  <c r="AV39" i="330" a="1"/>
  <c r="AV39" i="330" s="1"/>
  <c r="AV46" i="330" a="1"/>
  <c r="AV46" i="330" s="1"/>
  <c r="AV18" i="330" a="1"/>
  <c r="AV18" i="330" s="1"/>
  <c r="AV41" i="330" a="1"/>
  <c r="AV41" i="330" s="1"/>
  <c r="AV45" i="330" a="1"/>
  <c r="AV45" i="330" s="1"/>
  <c r="AV47" i="330" a="1"/>
  <c r="AV47" i="330" s="1"/>
  <c r="AV28" i="330" a="1"/>
  <c r="AV28" i="330" s="1"/>
  <c r="AV24" i="330" a="1"/>
  <c r="AV24" i="330" s="1"/>
  <c r="AO50" i="361" l="1"/>
  <c r="AP50" i="361" s="1"/>
  <c r="AO50" i="360"/>
  <c r="AP50" i="360" s="1"/>
  <c r="AO50" i="359"/>
  <c r="AP50" i="359" s="1"/>
  <c r="AO50" i="358"/>
  <c r="AP50" i="358" s="1"/>
  <c r="AO50" i="357"/>
  <c r="AP50" i="357" s="1"/>
  <c r="AO50" i="355"/>
  <c r="AP50" i="355" s="1"/>
  <c r="AO50" i="354"/>
  <c r="AP50" i="354" s="1"/>
  <c r="AO50" i="353"/>
  <c r="AP50" i="353" s="1"/>
  <c r="AO50" i="352"/>
  <c r="AP50" i="352" s="1"/>
  <c r="AO50" i="356"/>
  <c r="AP50" i="356" s="1"/>
  <c r="B22" i="1"/>
  <c r="B21" i="1"/>
  <c r="B20" i="1"/>
  <c r="B19" i="1"/>
  <c r="B18" i="1"/>
  <c r="B13" i="1"/>
  <c r="B11" i="1"/>
  <c r="B17" i="1" s="1"/>
  <c r="B9" i="1"/>
  <c r="B8" i="1"/>
  <c r="H9" i="330" l="1"/>
  <c r="C9" i="330"/>
  <c r="AW19" i="353" a="1"/>
  <c r="AW19" i="353" s="1"/>
  <c r="B12" i="1"/>
  <c r="B14" i="1"/>
  <c r="B15" i="1"/>
  <c r="B10" i="1"/>
  <c r="B16" i="1"/>
  <c r="I9" i="356" l="1"/>
  <c r="AW39" i="358" a="1"/>
  <c r="AW39" i="358" s="1"/>
  <c r="T9" i="359"/>
  <c r="AW49" i="360" a="1"/>
  <c r="AW49" i="360" s="1"/>
  <c r="AW28" i="352" a="1"/>
  <c r="AW28" i="352" s="1"/>
  <c r="AW25" i="352" a="1"/>
  <c r="AW25" i="352" s="1"/>
  <c r="AW18" i="359" a="1"/>
  <c r="AW18" i="359" s="1"/>
  <c r="Z9" i="330"/>
  <c r="AW38" i="358" a="1"/>
  <c r="AW38" i="358" s="1"/>
  <c r="AW40" i="358" a="1"/>
  <c r="AW40" i="358" s="1"/>
  <c r="J9" i="354"/>
  <c r="AW28" i="358" a="1"/>
  <c r="AW28" i="358" s="1"/>
  <c r="I9" i="358"/>
  <c r="AW32" i="359" a="1"/>
  <c r="AW32" i="359" s="1"/>
  <c r="N9" i="352"/>
  <c r="AW29" i="358" a="1"/>
  <c r="AW29" i="358" s="1"/>
  <c r="AW18" i="357" a="1"/>
  <c r="AW18" i="357" s="1"/>
  <c r="AD9" i="361"/>
  <c r="AW46" i="355" a="1"/>
  <c r="AW46" i="355" s="1"/>
  <c r="L9" i="361"/>
  <c r="O9" i="353"/>
  <c r="AW10" i="353" a="1"/>
  <c r="AW10" i="353" s="1"/>
  <c r="AW38" i="357" a="1"/>
  <c r="AW38" i="357" s="1"/>
  <c r="N9" i="358"/>
  <c r="X9" i="357"/>
  <c r="D9" i="361"/>
  <c r="AW14" i="357" a="1"/>
  <c r="AW14" i="357" s="1"/>
  <c r="X9" i="360"/>
  <c r="E9" i="330"/>
  <c r="AW24" i="358" a="1"/>
  <c r="AW24" i="358" s="1"/>
  <c r="M9" i="330"/>
  <c r="AW15" i="330" a="1"/>
  <c r="AW15" i="330" s="1"/>
  <c r="T9" i="353"/>
  <c r="AW16" i="360" a="1"/>
  <c r="AW16" i="360" s="1"/>
  <c r="AW36" i="362" a="1"/>
  <c r="AW36" i="362" s="1"/>
  <c r="AW25" i="353" a="1"/>
  <c r="AW25" i="353" s="1"/>
  <c r="AW44" i="360" a="1"/>
  <c r="AW44" i="360" s="1"/>
  <c r="AW22" i="359" a="1"/>
  <c r="AW22" i="359" s="1"/>
  <c r="AW10" i="357" a="1"/>
  <c r="AW10" i="357" s="1"/>
  <c r="AW23" i="358" a="1"/>
  <c r="AW23" i="358" s="1"/>
  <c r="F9" i="358"/>
  <c r="O9" i="356"/>
  <c r="U9" i="355"/>
  <c r="E9" i="360"/>
  <c r="J9" i="355"/>
  <c r="Q9" i="362"/>
  <c r="W9" i="360"/>
  <c r="E9" i="354"/>
  <c r="P9" i="360"/>
  <c r="P9" i="361"/>
  <c r="C9" i="354"/>
  <c r="F9" i="360"/>
  <c r="R9" i="356"/>
  <c r="R9" i="362"/>
  <c r="AW29" i="357" a="1"/>
  <c r="AW29" i="357" s="1"/>
  <c r="AW19" i="359" a="1"/>
  <c r="AW19" i="359" s="1"/>
  <c r="AW49" i="330" a="1"/>
  <c r="AW49" i="330" s="1"/>
  <c r="AW34" i="360" a="1"/>
  <c r="AW34" i="360" s="1"/>
  <c r="M9" i="353"/>
  <c r="AW12" i="330" a="1"/>
  <c r="AW12" i="330" s="1"/>
  <c r="AW35" i="353" a="1"/>
  <c r="AW35" i="353" s="1"/>
  <c r="AW39" i="362" a="1"/>
  <c r="AW39" i="362" s="1"/>
  <c r="AW10" i="359" a="1"/>
  <c r="AW10" i="359" s="1"/>
  <c r="AW39" i="357" a="1"/>
  <c r="AW39" i="357" s="1"/>
  <c r="AW10" i="362" a="1"/>
  <c r="AW10" i="362" s="1"/>
  <c r="AE9" i="359"/>
  <c r="H9" i="360"/>
  <c r="AF9" i="362"/>
  <c r="R9" i="353"/>
  <c r="AW42" i="353" a="1"/>
  <c r="AW42" i="353" s="1"/>
  <c r="AW23" i="330" a="1"/>
  <c r="AW23" i="330" s="1"/>
  <c r="Q9" i="353"/>
  <c r="AW48" i="355" a="1"/>
  <c r="AW48" i="355" s="1"/>
  <c r="AW14" i="359" a="1"/>
  <c r="AW14" i="359" s="1"/>
  <c r="T9" i="358"/>
  <c r="AW33" i="361" a="1"/>
  <c r="AW33" i="361" s="1"/>
  <c r="U9" i="359"/>
  <c r="AE9" i="360"/>
  <c r="AB9" i="352"/>
  <c r="AW28" i="330" a="1"/>
  <c r="AW28" i="330" s="1"/>
  <c r="E9" i="353"/>
  <c r="AW45" i="354" a="1"/>
  <c r="AW45" i="354" s="1"/>
  <c r="AW45" i="356" a="1"/>
  <c r="AW45" i="356" s="1"/>
  <c r="AW11" i="360" a="1"/>
  <c r="AW11" i="360" s="1"/>
  <c r="V9" i="357"/>
  <c r="AW21" i="354" a="1"/>
  <c r="AW21" i="354" s="1"/>
  <c r="AW23" i="361" a="1"/>
  <c r="AW23" i="361" s="1"/>
  <c r="AW36" i="330" a="1"/>
  <c r="AW36" i="330" s="1"/>
  <c r="AW27" i="352" a="1"/>
  <c r="AW27" i="352" s="1"/>
  <c r="AW27" i="354" a="1"/>
  <c r="AW27" i="354" s="1"/>
  <c r="AW11" i="356" a="1"/>
  <c r="AW11" i="356" s="1"/>
  <c r="AW19" i="357" a="1"/>
  <c r="AW19" i="357" s="1"/>
  <c r="AW14" i="361" a="1"/>
  <c r="AW14" i="361" s="1"/>
  <c r="AW13" i="359" a="1"/>
  <c r="AW13" i="359" s="1"/>
  <c r="K9" i="362"/>
  <c r="AA9" i="359"/>
  <c r="AW40" i="330" a="1"/>
  <c r="AW40" i="330" s="1"/>
  <c r="AW35" i="352" a="1"/>
  <c r="AW35" i="352" s="1"/>
  <c r="AW15" i="353" a="1"/>
  <c r="AW15" i="353" s="1"/>
  <c r="AW13" i="355" a="1"/>
  <c r="AW13" i="355" s="1"/>
  <c r="D9" i="357"/>
  <c r="AW11" i="359" a="1"/>
  <c r="AW11" i="359" s="1"/>
  <c r="AE9" i="356"/>
  <c r="AF9" i="360"/>
  <c r="AW11" i="353" a="1"/>
  <c r="AW11" i="353" s="1"/>
  <c r="AW24" i="355" a="1"/>
  <c r="AW24" i="355" s="1"/>
  <c r="AW24" i="356" a="1"/>
  <c r="AW24" i="356" s="1"/>
  <c r="AW13" i="360" a="1"/>
  <c r="AW13" i="360" s="1"/>
  <c r="Y9" i="357"/>
  <c r="C9" i="360"/>
  <c r="AW35" i="361" a="1"/>
  <c r="AW35" i="361" s="1"/>
  <c r="AW46" i="362" a="1"/>
  <c r="AW46" i="362" s="1"/>
  <c r="AW34" i="354" a="1"/>
  <c r="AW34" i="354" s="1"/>
  <c r="T9" i="354"/>
  <c r="AW23" i="355" a="1"/>
  <c r="AW23" i="355" s="1"/>
  <c r="AW42" i="359" a="1"/>
  <c r="AW42" i="359" s="1"/>
  <c r="AW25" i="357" a="1"/>
  <c r="AW25" i="357" s="1"/>
  <c r="AG9" i="357"/>
  <c r="E9" i="357"/>
  <c r="AW27" i="362" a="1"/>
  <c r="AW27" i="362" s="1"/>
  <c r="AW20" i="359" a="1"/>
  <c r="AW20" i="359" s="1"/>
  <c r="W9" i="362"/>
  <c r="AW27" i="353" a="1"/>
  <c r="AW27" i="353" s="1"/>
  <c r="P9" i="355"/>
  <c r="AW44" i="356" a="1"/>
  <c r="AW44" i="356" s="1"/>
  <c r="AF9" i="358"/>
  <c r="AW19" i="362" a="1"/>
  <c r="AW19" i="362" s="1"/>
  <c r="AW33" i="362" a="1"/>
  <c r="AW33" i="362" s="1"/>
  <c r="AW48" i="358" a="1"/>
  <c r="AW48" i="358" s="1"/>
  <c r="AW31" i="361" a="1"/>
  <c r="AW31" i="361" s="1"/>
  <c r="D9" i="359"/>
  <c r="O9" i="354"/>
  <c r="AC9" i="358"/>
  <c r="AW23" i="356" a="1"/>
  <c r="AW23" i="356" s="1"/>
  <c r="AW31" i="360" a="1"/>
  <c r="AW31" i="360" s="1"/>
  <c r="AW36" i="357" a="1"/>
  <c r="AW36" i="357" s="1"/>
  <c r="AW41" i="358" a="1"/>
  <c r="AW41" i="358" s="1"/>
  <c r="AW39" i="361" a="1"/>
  <c r="AW39" i="361" s="1"/>
  <c r="U9" i="362"/>
  <c r="AW22" i="356" a="1"/>
  <c r="AW22" i="356" s="1"/>
  <c r="H9" i="359"/>
  <c r="Q9" i="358"/>
  <c r="V9" i="362"/>
  <c r="F9" i="362"/>
  <c r="AW17" i="354" a="1"/>
  <c r="AW17" i="354" s="1"/>
  <c r="I9" i="330"/>
  <c r="U9" i="360"/>
  <c r="H9" i="354"/>
  <c r="D9" i="362"/>
  <c r="AC9" i="357"/>
  <c r="AA9" i="354"/>
  <c r="F9" i="356"/>
  <c r="AW29" i="352" a="1"/>
  <c r="AW29" i="352" s="1"/>
  <c r="M9" i="358"/>
  <c r="AW34" i="355" a="1"/>
  <c r="AW34" i="355" s="1"/>
  <c r="AW42" i="354" a="1"/>
  <c r="AW42" i="354" s="1"/>
  <c r="AW23" i="353" a="1"/>
  <c r="AW23" i="353" s="1"/>
  <c r="AW24" i="353" a="1"/>
  <c r="AW24" i="353" s="1"/>
  <c r="AW38" i="352" a="1"/>
  <c r="AW38" i="352" s="1"/>
  <c r="W9" i="353"/>
  <c r="AW11" i="355" a="1"/>
  <c r="AW11" i="355" s="1"/>
  <c r="AB9" i="356"/>
  <c r="AW15" i="360" a="1"/>
  <c r="AW15" i="360" s="1"/>
  <c r="AW32" i="356" a="1"/>
  <c r="AW32" i="356" s="1"/>
  <c r="AW45" i="360" a="1"/>
  <c r="AW45" i="360" s="1"/>
  <c r="W9" i="357"/>
  <c r="AW12" i="354" a="1"/>
  <c r="AW12" i="354" s="1"/>
  <c r="O9" i="361"/>
  <c r="AW19" i="356" a="1"/>
  <c r="AW19" i="356" s="1"/>
  <c r="AW31" i="352" a="1"/>
  <c r="AW31" i="352" s="1"/>
  <c r="AW30" i="357" a="1"/>
  <c r="AW30" i="357" s="1"/>
  <c r="AW42" i="355" a="1"/>
  <c r="AW42" i="355" s="1"/>
  <c r="AW10" i="355" a="1"/>
  <c r="AW10" i="355" s="1"/>
  <c r="AW29" i="355" a="1"/>
  <c r="AW29" i="355" s="1"/>
  <c r="AW45" i="359" a="1"/>
  <c r="AW45" i="359" s="1"/>
  <c r="W9" i="356"/>
  <c r="AW44" i="359" a="1"/>
  <c r="AW44" i="359" s="1"/>
  <c r="AW16" i="356" a="1"/>
  <c r="AW16" i="356" s="1"/>
  <c r="AW45" i="361" a="1"/>
  <c r="AW45" i="361" s="1"/>
  <c r="AW30" i="352" a="1"/>
  <c r="AW30" i="352" s="1"/>
  <c r="AW45" i="352" a="1"/>
  <c r="AW45" i="352" s="1"/>
  <c r="I9" i="361"/>
  <c r="AF9" i="355"/>
  <c r="AD9" i="353"/>
  <c r="AA9" i="357"/>
  <c r="AW49" i="353" a="1"/>
  <c r="AW49" i="353" s="1"/>
  <c r="AW27" i="361" a="1"/>
  <c r="AW27" i="361" s="1"/>
  <c r="AA9" i="353"/>
  <c r="AW49" i="358" a="1"/>
  <c r="AW49" i="358" s="1"/>
  <c r="AF9" i="352"/>
  <c r="AW13" i="352" a="1"/>
  <c r="AW13" i="352" s="1"/>
  <c r="AW26" i="357" a="1"/>
  <c r="AW26" i="357" s="1"/>
  <c r="AW13" i="353" a="1"/>
  <c r="AW13" i="353" s="1"/>
  <c r="AW14" i="360" a="1"/>
  <c r="AW14" i="360" s="1"/>
  <c r="AW24" i="362" a="1"/>
  <c r="AW24" i="362" s="1"/>
  <c r="AW39" i="356" a="1"/>
  <c r="AW39" i="356" s="1"/>
  <c r="AW34" i="352" a="1"/>
  <c r="AW34" i="352" s="1"/>
  <c r="AW17" i="357" a="1"/>
  <c r="AW17" i="357" s="1"/>
  <c r="F9" i="353"/>
  <c r="S9" i="357"/>
  <c r="AD9" i="330"/>
  <c r="S9" i="353"/>
  <c r="AW42" i="358" a="1"/>
  <c r="AW42" i="358" s="1"/>
  <c r="AW32" i="362" a="1"/>
  <c r="AW32" i="362" s="1"/>
  <c r="V9" i="360"/>
  <c r="AW13" i="362" a="1"/>
  <c r="AW13" i="362" s="1"/>
  <c r="AA9" i="355"/>
  <c r="E9" i="352"/>
  <c r="AE9" i="362"/>
  <c r="N9" i="353"/>
  <c r="AW23" i="354" a="1"/>
  <c r="AW23" i="354" s="1"/>
  <c r="AW21" i="330" a="1"/>
  <c r="AW21" i="330" s="1"/>
  <c r="Z9" i="353"/>
  <c r="AW16" i="355" a="1"/>
  <c r="AW16" i="355" s="1"/>
  <c r="G9" i="357"/>
  <c r="AW29" i="362" a="1"/>
  <c r="AW29" i="362" s="1"/>
  <c r="AW11" i="361" a="1"/>
  <c r="AW11" i="361" s="1"/>
  <c r="W9" i="355"/>
  <c r="AW22" i="362" a="1"/>
  <c r="AW22" i="362" s="1"/>
  <c r="AC9" i="352"/>
  <c r="AW33" i="352" a="1"/>
  <c r="AW33" i="352" s="1"/>
  <c r="V9" i="353"/>
  <c r="AW31" i="354" a="1"/>
  <c r="AW31" i="354" s="1"/>
  <c r="AW48" i="356" a="1"/>
  <c r="AW48" i="356" s="1"/>
  <c r="AW21" i="360" a="1"/>
  <c r="AW21" i="360" s="1"/>
  <c r="AW30" i="361" a="1"/>
  <c r="AW30" i="361" s="1"/>
  <c r="F9" i="352"/>
  <c r="K9" i="361"/>
  <c r="AW27" i="330" a="1"/>
  <c r="AW27" i="330" s="1"/>
  <c r="AW26" i="352" a="1"/>
  <c r="AW26" i="352" s="1"/>
  <c r="AW16" i="354" a="1"/>
  <c r="AW16" i="354" s="1"/>
  <c r="AW14" i="356" a="1"/>
  <c r="AW14" i="356" s="1"/>
  <c r="F9" i="357"/>
  <c r="AW21" i="361" a="1"/>
  <c r="AW21" i="361" s="1"/>
  <c r="Z9" i="356"/>
  <c r="AW39" i="360" a="1"/>
  <c r="AW39" i="360" s="1"/>
  <c r="D9" i="356"/>
  <c r="AW37" i="330" a="1"/>
  <c r="AW37" i="330" s="1"/>
  <c r="AW16" i="352" a="1"/>
  <c r="AW16" i="352" s="1"/>
  <c r="AW36" i="353" a="1"/>
  <c r="AW36" i="353" s="1"/>
  <c r="I9" i="355"/>
  <c r="AW47" i="357" a="1"/>
  <c r="AW47" i="357" s="1"/>
  <c r="AW24" i="361" a="1"/>
  <c r="AW24" i="361" s="1"/>
  <c r="AW15" i="356" a="1"/>
  <c r="AW15" i="356" s="1"/>
  <c r="D9" i="355"/>
  <c r="AW13" i="354" a="1"/>
  <c r="AW13" i="354" s="1"/>
  <c r="AW17" i="355" a="1"/>
  <c r="AW17" i="355" s="1"/>
  <c r="R9" i="358"/>
  <c r="AW36" i="360" a="1"/>
  <c r="AW36" i="360" s="1"/>
  <c r="Q9" i="359"/>
  <c r="S9" i="360"/>
  <c r="Y9" i="361"/>
  <c r="S9" i="359"/>
  <c r="AW41" i="354" a="1"/>
  <c r="AW41" i="354" s="1"/>
  <c r="F9" i="355"/>
  <c r="AW41" i="355" a="1"/>
  <c r="AW41" i="355" s="1"/>
  <c r="H9" i="362"/>
  <c r="AW24" i="357" a="1"/>
  <c r="AW24" i="357" s="1"/>
  <c r="AE9" i="357"/>
  <c r="AW44" i="362" a="1"/>
  <c r="AW44" i="362" s="1"/>
  <c r="AW28" i="362" a="1"/>
  <c r="AW28" i="362" s="1"/>
  <c r="F9" i="359"/>
  <c r="AB9" i="359"/>
  <c r="AW24" i="354" a="1"/>
  <c r="AW24" i="354" s="1"/>
  <c r="AW40" i="355" a="1"/>
  <c r="AW40" i="355" s="1"/>
  <c r="AF9" i="356"/>
  <c r="R9" i="357"/>
  <c r="AW46" i="357" a="1"/>
  <c r="AW46" i="357" s="1"/>
  <c r="AB9" i="360"/>
  <c r="Y9" i="358"/>
  <c r="AW43" i="361" a="1"/>
  <c r="AW43" i="361" s="1"/>
  <c r="AF9" i="359"/>
  <c r="AW47" i="354" a="1"/>
  <c r="AW47" i="354" s="1"/>
  <c r="S9" i="361"/>
  <c r="AW29" i="356" a="1"/>
  <c r="AW29" i="356" s="1"/>
  <c r="AW19" i="360" a="1"/>
  <c r="AW19" i="360" s="1"/>
  <c r="AW42" i="362" a="1"/>
  <c r="AW42" i="362" s="1"/>
  <c r="AW34" i="358" a="1"/>
  <c r="AW34" i="358" s="1"/>
  <c r="AW19" i="361" a="1"/>
  <c r="AW19" i="361" s="1"/>
  <c r="K9" i="360"/>
  <c r="E9" i="355"/>
  <c r="AW21" i="355" a="1"/>
  <c r="AW21" i="355" s="1"/>
  <c r="AA9" i="360"/>
  <c r="N9" i="360"/>
  <c r="AA9" i="362"/>
  <c r="E9" i="362"/>
  <c r="R9" i="354"/>
  <c r="AD9" i="362"/>
  <c r="AC9" i="362"/>
  <c r="Q9" i="360"/>
  <c r="G9" i="355"/>
  <c r="M9" i="362"/>
  <c r="G9" i="362"/>
  <c r="AW20" i="354" a="1"/>
  <c r="AW20" i="354" s="1"/>
  <c r="Q9" i="355"/>
  <c r="J9" i="330"/>
  <c r="AW16" i="362" a="1"/>
  <c r="AW16" i="362" s="1"/>
  <c r="X9" i="359"/>
  <c r="AA9" i="356"/>
  <c r="AW40" i="356" a="1"/>
  <c r="AW40" i="356" s="1"/>
  <c r="N9" i="362"/>
  <c r="Y9" i="330"/>
  <c r="AW36" i="358" a="1"/>
  <c r="AW36" i="358" s="1"/>
  <c r="AW28" i="359" a="1"/>
  <c r="AW28" i="359" s="1"/>
  <c r="AW23" i="359" a="1"/>
  <c r="AW23" i="359" s="1"/>
  <c r="AW16" i="361" a="1"/>
  <c r="AW16" i="361" s="1"/>
  <c r="AW28" i="361" a="1"/>
  <c r="AW28" i="361" s="1"/>
  <c r="AW29" i="359" a="1"/>
  <c r="AW29" i="359" s="1"/>
  <c r="AW35" i="358" a="1"/>
  <c r="AW35" i="358" s="1"/>
  <c r="W9" i="361"/>
  <c r="AG9" i="353"/>
  <c r="T9" i="362"/>
  <c r="I9" i="362"/>
  <c r="K9" i="358"/>
  <c r="M9" i="354"/>
  <c r="AW10" i="330" a="1"/>
  <c r="AW10" i="330" s="1"/>
  <c r="AW32" i="352" a="1"/>
  <c r="AW32" i="352" s="1"/>
  <c r="AW12" i="352" a="1"/>
  <c r="AW12" i="352" s="1"/>
  <c r="AW25" i="330" a="1"/>
  <c r="AW25" i="330" s="1"/>
  <c r="X9" i="355"/>
  <c r="AG9" i="361"/>
  <c r="AW21" i="356" a="1"/>
  <c r="AW21" i="356" s="1"/>
  <c r="Z9" i="357"/>
  <c r="R9" i="355"/>
  <c r="K9" i="356"/>
  <c r="AW48" i="359" a="1"/>
  <c r="AW48" i="359" s="1"/>
  <c r="N9" i="359"/>
  <c r="AW15" i="361" a="1"/>
  <c r="AW15" i="361" s="1"/>
  <c r="P9" i="362"/>
  <c r="Z9" i="355"/>
  <c r="I9" i="360"/>
  <c r="AW41" i="361" a="1"/>
  <c r="AW41" i="361" s="1"/>
  <c r="AW38" i="330" a="1"/>
  <c r="AW38" i="330" s="1"/>
  <c r="AW26" i="362" a="1"/>
  <c r="AW26" i="362" s="1"/>
  <c r="AW16" i="359" a="1"/>
  <c r="AW16" i="359" s="1"/>
  <c r="AW31" i="356" a="1"/>
  <c r="AW31" i="356" s="1"/>
  <c r="K9" i="352"/>
  <c r="T9" i="330"/>
  <c r="AW46" i="353" a="1"/>
  <c r="AW46" i="353" s="1"/>
  <c r="AW37" i="358" a="1"/>
  <c r="AW37" i="358" s="1"/>
  <c r="AW43" i="359" a="1"/>
  <c r="AW43" i="359" s="1"/>
  <c r="S9" i="356"/>
  <c r="Y9" i="353"/>
  <c r="AW11" i="358" a="1"/>
  <c r="AW11" i="358" s="1"/>
  <c r="AW35" i="360" a="1"/>
  <c r="AW35" i="360" s="1"/>
  <c r="Y9" i="360"/>
  <c r="AC9" i="330"/>
  <c r="Y9" i="354"/>
  <c r="AA9" i="361"/>
  <c r="E9" i="361"/>
  <c r="AW25" i="362" a="1"/>
  <c r="AW25" i="362" s="1"/>
  <c r="AW49" i="361" a="1"/>
  <c r="AW49" i="361" s="1"/>
  <c r="AD9" i="354"/>
  <c r="AB9" i="355"/>
  <c r="L9" i="359"/>
  <c r="AB9" i="353"/>
  <c r="H9" i="355"/>
  <c r="AW19" i="330" a="1"/>
  <c r="AW19" i="330" s="1"/>
  <c r="AW17" i="353" a="1"/>
  <c r="AW17" i="353" s="1"/>
  <c r="AW19" i="355" a="1"/>
  <c r="AW19" i="355" s="1"/>
  <c r="C9" i="357"/>
  <c r="AB9" i="362"/>
  <c r="AW25" i="361" a="1"/>
  <c r="AW25" i="361" s="1"/>
  <c r="R9" i="352"/>
  <c r="AW31" i="359" a="1"/>
  <c r="AW31" i="359" s="1"/>
  <c r="X9" i="352"/>
  <c r="AW41" i="352" a="1"/>
  <c r="AW41" i="352" s="1"/>
  <c r="C9" i="353"/>
  <c r="AW11" i="354" a="1"/>
  <c r="AW11" i="354" s="1"/>
  <c r="J9" i="356"/>
  <c r="AW22" i="357" a="1"/>
  <c r="AW22" i="357" s="1"/>
  <c r="AW18" i="361" a="1"/>
  <c r="AW18" i="361" s="1"/>
  <c r="W9" i="359"/>
  <c r="AW31" i="330" a="1"/>
  <c r="AW31" i="330" s="1"/>
  <c r="AW21" i="352" a="1"/>
  <c r="AW21" i="352" s="1"/>
  <c r="AW25" i="354" a="1"/>
  <c r="AW25" i="354" s="1"/>
  <c r="AB9" i="358"/>
  <c r="O9" i="357"/>
  <c r="AW46" i="361" a="1"/>
  <c r="AW46" i="361" s="1"/>
  <c r="AW33" i="354" a="1"/>
  <c r="AW33" i="354" s="1"/>
  <c r="AW42" i="357" a="1"/>
  <c r="AW42" i="357" s="1"/>
  <c r="AB9" i="330"/>
  <c r="AW30" i="330" a="1"/>
  <c r="AW30" i="330" s="1"/>
  <c r="AW22" i="352" a="1"/>
  <c r="AW22" i="352" s="1"/>
  <c r="AW31" i="353" a="1"/>
  <c r="AW31" i="353" s="1"/>
  <c r="AW27" i="356" a="1"/>
  <c r="AW27" i="356" s="1"/>
  <c r="AW13" i="357" a="1"/>
  <c r="AW13" i="357" s="1"/>
  <c r="AW34" i="361" a="1"/>
  <c r="AW34" i="361" s="1"/>
  <c r="AW29" i="354" a="1"/>
  <c r="AW29" i="354" s="1"/>
  <c r="AD9" i="352"/>
  <c r="I9" i="354"/>
  <c r="Y9" i="355"/>
  <c r="AW48" i="362" a="1"/>
  <c r="AW48" i="362" s="1"/>
  <c r="AW15" i="357" a="1"/>
  <c r="AW15" i="357" s="1"/>
  <c r="U9" i="358"/>
  <c r="X9" i="361"/>
  <c r="AW40" i="359" a="1"/>
  <c r="AW40" i="359" s="1"/>
  <c r="G9" i="359"/>
  <c r="AE9" i="354"/>
  <c r="L9" i="355"/>
  <c r="AW25" i="355" a="1"/>
  <c r="AW25" i="355" s="1"/>
  <c r="U9" i="361"/>
  <c r="AW43" i="357" a="1"/>
  <c r="AW43" i="357" s="1"/>
  <c r="AW14" i="358" a="1"/>
  <c r="AW14" i="358" s="1"/>
  <c r="P9" i="357"/>
  <c r="AW21" i="362" a="1"/>
  <c r="AW21" i="362" s="1"/>
  <c r="O9" i="355"/>
  <c r="S9" i="355"/>
  <c r="AW49" i="354" a="1"/>
  <c r="AW49" i="354" s="1"/>
  <c r="AW45" i="355" a="1"/>
  <c r="AW45" i="355" s="1"/>
  <c r="G9" i="358"/>
  <c r="AW33" i="360" a="1"/>
  <c r="AW33" i="360" s="1"/>
  <c r="AW27" i="357" a="1"/>
  <c r="AW27" i="357" s="1"/>
  <c r="AW17" i="362" a="1"/>
  <c r="AW17" i="362" s="1"/>
  <c r="AW23" i="362" a="1"/>
  <c r="AW23" i="362" s="1"/>
  <c r="AE9" i="358"/>
  <c r="AW35" i="359" a="1"/>
  <c r="AW35" i="359" s="1"/>
  <c r="AW46" i="354" a="1"/>
  <c r="AW46" i="354" s="1"/>
  <c r="M9" i="359"/>
  <c r="AW13" i="356" a="1"/>
  <c r="AW13" i="356" s="1"/>
  <c r="AW48" i="360" a="1"/>
  <c r="AW48" i="360" s="1"/>
  <c r="AW33" i="359" a="1"/>
  <c r="AW33" i="359" s="1"/>
  <c r="AW45" i="362" a="1"/>
  <c r="AW45" i="362" s="1"/>
  <c r="AW36" i="361" a="1"/>
  <c r="AW36" i="361" s="1"/>
  <c r="AW34" i="359" a="1"/>
  <c r="AW34" i="359" s="1"/>
  <c r="AB9" i="354"/>
  <c r="X9" i="354"/>
  <c r="X9" i="353"/>
  <c r="AD9" i="356"/>
  <c r="Z9" i="362"/>
  <c r="AD9" i="360"/>
  <c r="M9" i="357"/>
  <c r="U9" i="330"/>
  <c r="R9" i="361"/>
  <c r="D9" i="352"/>
  <c r="S9" i="330"/>
  <c r="Q9" i="361"/>
  <c r="G9" i="330"/>
  <c r="AW28" i="357" a="1"/>
  <c r="AW28" i="357" s="1"/>
  <c r="T9" i="352"/>
  <c r="AW41" i="330" a="1"/>
  <c r="AW41" i="330" s="1"/>
  <c r="P9" i="352"/>
  <c r="AW14" i="353" a="1"/>
  <c r="AW14" i="353" s="1"/>
  <c r="AW40" i="357" a="1"/>
  <c r="AW40" i="357" s="1"/>
  <c r="R9" i="359"/>
  <c r="AW28" i="355" a="1"/>
  <c r="AW28" i="355" s="1"/>
  <c r="L9" i="360"/>
  <c r="AW14" i="355" a="1"/>
  <c r="AW14" i="355" s="1"/>
  <c r="AW44" i="354" a="1"/>
  <c r="AW44" i="354" s="1"/>
  <c r="AW30" i="360" a="1"/>
  <c r="AW30" i="360" s="1"/>
  <c r="AW19" i="354" a="1"/>
  <c r="AW19" i="354" s="1"/>
  <c r="AW38" i="353" a="1"/>
  <c r="AW38" i="353" s="1"/>
  <c r="AW37" i="361" a="1"/>
  <c r="AW37" i="361" s="1"/>
  <c r="AB9" i="361"/>
  <c r="AE9" i="355"/>
  <c r="C9" i="355"/>
  <c r="AW40" i="361" a="1"/>
  <c r="AW40" i="361" s="1"/>
  <c r="AW45" i="330" a="1"/>
  <c r="AW45" i="330" s="1"/>
  <c r="H9" i="358"/>
  <c r="AW12" i="356" a="1"/>
  <c r="AW12" i="356" s="1"/>
  <c r="AW44" i="353" a="1"/>
  <c r="AW44" i="353" s="1"/>
  <c r="AW36" i="354" a="1"/>
  <c r="AW36" i="354" s="1"/>
  <c r="AW40" i="362" a="1"/>
  <c r="AW40" i="362" s="1"/>
  <c r="AW12" i="353" a="1"/>
  <c r="AW12" i="353" s="1"/>
  <c r="AW28" i="360" a="1"/>
  <c r="AW28" i="360" s="1"/>
  <c r="Z9" i="361"/>
  <c r="AW44" i="358" a="1"/>
  <c r="AW44" i="358" s="1"/>
  <c r="AW40" i="360" a="1"/>
  <c r="AW40" i="360" s="1"/>
  <c r="AF9" i="357"/>
  <c r="AW15" i="355" a="1"/>
  <c r="AW15" i="355" s="1"/>
  <c r="AW32" i="358" a="1"/>
  <c r="AW32" i="358" s="1"/>
  <c r="L9" i="362"/>
  <c r="AW10" i="360" a="1"/>
  <c r="AW10" i="360" s="1"/>
  <c r="AW21" i="353" a="1"/>
  <c r="AW21" i="353" s="1"/>
  <c r="F9" i="361"/>
  <c r="AW12" i="361" a="1"/>
  <c r="AW12" i="361" s="1"/>
  <c r="N9" i="357"/>
  <c r="D9" i="353"/>
  <c r="AW29" i="353" a="1"/>
  <c r="AW29" i="353" s="1"/>
  <c r="AW35" i="354" a="1"/>
  <c r="AW35" i="354" s="1"/>
  <c r="O9" i="358"/>
  <c r="AC9" i="361"/>
  <c r="AW47" i="330" a="1"/>
  <c r="AW47" i="330" s="1"/>
  <c r="AW48" i="353" a="1"/>
  <c r="AW48" i="353" s="1"/>
  <c r="M9" i="360"/>
  <c r="AW42" i="330" a="1"/>
  <c r="AW42" i="330" s="1"/>
  <c r="AW42" i="352" a="1"/>
  <c r="AW42" i="352" s="1"/>
  <c r="AW34" i="330" a="1"/>
  <c r="AW34" i="330" s="1"/>
  <c r="AG9" i="355"/>
  <c r="Z9" i="358"/>
  <c r="AW41" i="362" a="1"/>
  <c r="AW41" i="362" s="1"/>
  <c r="H9" i="357"/>
  <c r="AW47" i="361" a="1"/>
  <c r="AW47" i="361" s="1"/>
  <c r="AW30" i="354" a="1"/>
  <c r="AW30" i="354" s="1"/>
  <c r="V9" i="358"/>
  <c r="E9" i="356"/>
  <c r="AE9" i="353"/>
  <c r="AW38" i="355" a="1"/>
  <c r="AW38" i="355" s="1"/>
  <c r="AW22" i="330" a="1"/>
  <c r="AW22" i="330" s="1"/>
  <c r="AW20" i="353" a="1"/>
  <c r="AW20" i="353" s="1"/>
  <c r="AW27" i="355" a="1"/>
  <c r="AW27" i="355" s="1"/>
  <c r="AW22" i="360" a="1"/>
  <c r="AW22" i="360" s="1"/>
  <c r="AW17" i="358" a="1"/>
  <c r="AW17" i="358" s="1"/>
  <c r="T9" i="360"/>
  <c r="W9" i="352"/>
  <c r="AW37" i="354" a="1"/>
  <c r="AW37" i="354" s="1"/>
  <c r="AW13" i="330" a="1"/>
  <c r="AW13" i="330" s="1"/>
  <c r="AW20" i="352" a="1"/>
  <c r="AW20" i="352" s="1"/>
  <c r="G9" i="353"/>
  <c r="AW44" i="355" a="1"/>
  <c r="AW44" i="355" s="1"/>
  <c r="AW18" i="356" a="1"/>
  <c r="AW18" i="356" s="1"/>
  <c r="AW16" i="357" a="1"/>
  <c r="AW16" i="357" s="1"/>
  <c r="AW42" i="361" a="1"/>
  <c r="AW42" i="361" s="1"/>
  <c r="AD9" i="355"/>
  <c r="AW20" i="330" a="1"/>
  <c r="AW20" i="330" s="1"/>
  <c r="AW14" i="330" a="1"/>
  <c r="AW14" i="330" s="1"/>
  <c r="AW32" i="353" a="1"/>
  <c r="AW32" i="353" s="1"/>
  <c r="AW20" i="355" a="1"/>
  <c r="AW20" i="355" s="1"/>
  <c r="AB9" i="357"/>
  <c r="U9" i="357"/>
  <c r="S9" i="362"/>
  <c r="L9" i="354"/>
  <c r="AW14" i="362" a="1"/>
  <c r="AW14" i="362" s="1"/>
  <c r="AW46" i="330" a="1"/>
  <c r="AW46" i="330" s="1"/>
  <c r="AW35" i="330" a="1"/>
  <c r="AW35" i="330" s="1"/>
  <c r="H9" i="352"/>
  <c r="AW39" i="353" a="1"/>
  <c r="AW39" i="353" s="1"/>
  <c r="AW46" i="356" a="1"/>
  <c r="AW46" i="356" s="1"/>
  <c r="J9" i="358"/>
  <c r="W9" i="358"/>
  <c r="AE9" i="352"/>
  <c r="Q9" i="356"/>
  <c r="Q9" i="354"/>
  <c r="AW28" i="356" a="1"/>
  <c r="AW28" i="356" s="1"/>
  <c r="AG9" i="358"/>
  <c r="AW21" i="357" a="1"/>
  <c r="AW21" i="357" s="1"/>
  <c r="AW27" i="358" a="1"/>
  <c r="AW27" i="358" s="1"/>
  <c r="AW30" i="359" a="1"/>
  <c r="AW30" i="359" s="1"/>
  <c r="AG9" i="359"/>
  <c r="AW24" i="359" a="1"/>
  <c r="AW24" i="359" s="1"/>
  <c r="U9" i="354"/>
  <c r="C9" i="356"/>
  <c r="AW12" i="355" a="1"/>
  <c r="AW12" i="355" s="1"/>
  <c r="AW18" i="360" a="1"/>
  <c r="AW18" i="360" s="1"/>
  <c r="AW35" i="357" a="1"/>
  <c r="AW35" i="357" s="1"/>
  <c r="AW33" i="358" a="1"/>
  <c r="AW33" i="358" s="1"/>
  <c r="AW26" i="361" a="1"/>
  <c r="AW26" i="361" s="1"/>
  <c r="AG9" i="362"/>
  <c r="W9" i="354"/>
  <c r="AD9" i="358"/>
  <c r="AW26" i="354" a="1"/>
  <c r="AW26" i="354" s="1"/>
  <c r="AW37" i="356" a="1"/>
  <c r="AW37" i="356" s="1"/>
  <c r="AW35" i="362" a="1"/>
  <c r="AW35" i="362" s="1"/>
  <c r="AW41" i="360" a="1"/>
  <c r="AW41" i="360" s="1"/>
  <c r="AW12" i="357" a="1"/>
  <c r="AW12" i="357" s="1"/>
  <c r="AW13" i="358" a="1"/>
  <c r="AW13" i="358" s="1"/>
  <c r="J9" i="361"/>
  <c r="AW12" i="362" a="1"/>
  <c r="AW12" i="362" s="1"/>
  <c r="AW25" i="359" a="1"/>
  <c r="AW25" i="359" s="1"/>
  <c r="AW48" i="352" a="1"/>
  <c r="AW48" i="352" s="1"/>
  <c r="AW35" i="355" a="1"/>
  <c r="AW35" i="355" s="1"/>
  <c r="AW31" i="362" a="1"/>
  <c r="AW31" i="362" s="1"/>
  <c r="AW11" i="357" a="1"/>
  <c r="AW11" i="357" s="1"/>
  <c r="J9" i="362"/>
  <c r="X9" i="362"/>
  <c r="AW38" i="361" a="1"/>
  <c r="AW38" i="361" s="1"/>
  <c r="AW17" i="359" a="1"/>
  <c r="AW17" i="359" s="1"/>
  <c r="AW43" i="354" a="1"/>
  <c r="AW43" i="354" s="1"/>
  <c r="M9" i="355"/>
  <c r="T9" i="356"/>
  <c r="J9" i="353"/>
  <c r="AC9" i="359"/>
  <c r="L9" i="358"/>
  <c r="AC9" i="356"/>
  <c r="AF9" i="353"/>
  <c r="X9" i="330"/>
  <c r="C9" i="359"/>
  <c r="AW26" i="359" a="1"/>
  <c r="AW26" i="359" s="1"/>
  <c r="R9" i="330"/>
  <c r="AG9" i="360"/>
  <c r="AW34" i="362" a="1"/>
  <c r="AW34" i="362" s="1"/>
  <c r="U9" i="353"/>
  <c r="AW43" i="360" a="1"/>
  <c r="AW43" i="360" s="1"/>
  <c r="AW37" i="362" a="1"/>
  <c r="AW37" i="362" s="1"/>
  <c r="AW34" i="357" a="1"/>
  <c r="AW34" i="357" s="1"/>
  <c r="AW24" i="360" a="1"/>
  <c r="AW24" i="360" s="1"/>
  <c r="AW46" i="360" a="1"/>
  <c r="AW46" i="360" s="1"/>
  <c r="AW45" i="357" a="1"/>
  <c r="AW45" i="357" s="1"/>
  <c r="AW17" i="356" a="1"/>
  <c r="AW17" i="356" s="1"/>
  <c r="J9" i="357"/>
  <c r="AW30" i="355" a="1"/>
  <c r="AW30" i="355" s="1"/>
  <c r="AW35" i="356" a="1"/>
  <c r="AW35" i="356" s="1"/>
  <c r="AW41" i="353" a="1"/>
  <c r="AW41" i="353" s="1"/>
  <c r="AW14" i="352" a="1"/>
  <c r="AW14" i="352" s="1"/>
  <c r="AW46" i="359" a="1"/>
  <c r="AW46" i="359" s="1"/>
  <c r="AW47" i="352" a="1"/>
  <c r="AW47" i="352" s="1"/>
  <c r="AW15" i="362" a="1"/>
  <c r="AW15" i="362" s="1"/>
  <c r="N9" i="354"/>
  <c r="AW18" i="352" a="1"/>
  <c r="AW18" i="352" s="1"/>
  <c r="AW11" i="352" a="1"/>
  <c r="AW11" i="352" s="1"/>
  <c r="AW40" i="353" a="1"/>
  <c r="AW40" i="353" s="1"/>
  <c r="X9" i="356"/>
  <c r="AA9" i="358"/>
  <c r="AW38" i="359" a="1"/>
  <c r="AW38" i="359" s="1"/>
  <c r="AW20" i="356" a="1"/>
  <c r="AW20" i="356" s="1"/>
  <c r="Q9" i="357"/>
  <c r="AW13" i="361" a="1"/>
  <c r="AW13" i="361" s="1"/>
  <c r="F9" i="354"/>
  <c r="AW44" i="357" a="1"/>
  <c r="AW44" i="357" s="1"/>
  <c r="AW26" i="330" a="1"/>
  <c r="AW26" i="330" s="1"/>
  <c r="AW38" i="362" a="1"/>
  <c r="AW38" i="362" s="1"/>
  <c r="AW44" i="330" a="1"/>
  <c r="AW44" i="330" s="1"/>
  <c r="AW43" i="356" a="1"/>
  <c r="AW43" i="356" s="1"/>
  <c r="AW30" i="356" a="1"/>
  <c r="AW30" i="356" s="1"/>
  <c r="AW26" i="355" a="1"/>
  <c r="AW26" i="355" s="1"/>
  <c r="AW49" i="359" a="1"/>
  <c r="AW49" i="359" s="1"/>
  <c r="AW14" i="354" a="1"/>
  <c r="AW14" i="354" s="1"/>
  <c r="P9" i="330"/>
  <c r="AW18" i="354" a="1"/>
  <c r="AW18" i="354" s="1"/>
  <c r="E9" i="359"/>
  <c r="AC9" i="353"/>
  <c r="P9" i="353"/>
  <c r="Q9" i="330"/>
  <c r="AW37" i="355" a="1"/>
  <c r="AW37" i="355" s="1"/>
  <c r="AW21" i="359" a="1"/>
  <c r="AW21" i="359" s="1"/>
  <c r="AE9" i="361"/>
  <c r="AW12" i="358" a="1"/>
  <c r="AW12" i="358" s="1"/>
  <c r="AW22" i="361" a="1"/>
  <c r="AW22" i="361" s="1"/>
  <c r="AW22" i="354" a="1"/>
  <c r="AW22" i="354" s="1"/>
  <c r="AW49" i="357" a="1"/>
  <c r="AW49" i="357" s="1"/>
  <c r="AW18" i="330" a="1"/>
  <c r="AW18" i="330" s="1"/>
  <c r="L9" i="353"/>
  <c r="AW32" i="355" a="1"/>
  <c r="AW32" i="355" s="1"/>
  <c r="AW15" i="352" a="1"/>
  <c r="AW15" i="352" s="1"/>
  <c r="AW45" i="353" a="1"/>
  <c r="AW45" i="353" s="1"/>
  <c r="P9" i="356"/>
  <c r="AW47" i="360" a="1"/>
  <c r="AW47" i="360" s="1"/>
  <c r="AW26" i="358" a="1"/>
  <c r="AW26" i="358" s="1"/>
  <c r="S9" i="358"/>
  <c r="M9" i="356"/>
  <c r="D9" i="330"/>
  <c r="AW32" i="330" a="1"/>
  <c r="AW32" i="330" s="1"/>
  <c r="AW46" i="352" a="1"/>
  <c r="AW46" i="352" s="1"/>
  <c r="AW16" i="353" a="1"/>
  <c r="AW16" i="353" s="1"/>
  <c r="AW31" i="355" a="1"/>
  <c r="AW31" i="355" s="1"/>
  <c r="AW36" i="359" a="1"/>
  <c r="AW36" i="359" s="1"/>
  <c r="AW31" i="358" a="1"/>
  <c r="AW31" i="358" s="1"/>
  <c r="X9" i="358"/>
  <c r="V9" i="354"/>
  <c r="AW49" i="352" a="1"/>
  <c r="AW49" i="352" s="1"/>
  <c r="AW23" i="352" a="1"/>
  <c r="AW23" i="352" s="1"/>
  <c r="AW30" i="353" a="1"/>
  <c r="AW30" i="353" s="1"/>
  <c r="AW18" i="355" a="1"/>
  <c r="AW18" i="355" s="1"/>
  <c r="AW29" i="360" a="1"/>
  <c r="AW29" i="360" s="1"/>
  <c r="AW10" i="358" a="1"/>
  <c r="AW10" i="358" s="1"/>
  <c r="E9" i="358"/>
  <c r="Q9" i="352"/>
  <c r="AC9" i="360"/>
  <c r="AW16" i="330" a="1"/>
  <c r="AW16" i="330" s="1"/>
  <c r="L9" i="330"/>
  <c r="AW37" i="352" a="1"/>
  <c r="AW37" i="352" s="1"/>
  <c r="AW28" i="353" a="1"/>
  <c r="AW28" i="353" s="1"/>
  <c r="AW25" i="356" a="1"/>
  <c r="AW25" i="356" s="1"/>
  <c r="AW16" i="358" a="1"/>
  <c r="AW16" i="358" s="1"/>
  <c r="AW47" i="362" a="1"/>
  <c r="AW47" i="362" s="1"/>
  <c r="AG9" i="330"/>
  <c r="AD9" i="359"/>
  <c r="AG9" i="354"/>
  <c r="AW41" i="356" a="1"/>
  <c r="AW41" i="356" s="1"/>
  <c r="T9" i="357"/>
  <c r="AW37" i="357" a="1"/>
  <c r="AW37" i="357" s="1"/>
  <c r="AW21" i="358" a="1"/>
  <c r="AW21" i="358" s="1"/>
  <c r="AW17" i="361" a="1"/>
  <c r="AW17" i="361" s="1"/>
  <c r="AW11" i="362" a="1"/>
  <c r="AW11" i="362" s="1"/>
  <c r="O9" i="359"/>
  <c r="C9" i="362"/>
  <c r="AW15" i="354" a="1"/>
  <c r="AW15" i="354" s="1"/>
  <c r="AW42" i="356" a="1"/>
  <c r="AW42" i="356" s="1"/>
  <c r="AW38" i="360" a="1"/>
  <c r="AW38" i="360" s="1"/>
  <c r="AW20" i="357" a="1"/>
  <c r="AW20" i="357" s="1"/>
  <c r="AW22" i="358" a="1"/>
  <c r="AW22" i="358" s="1"/>
  <c r="AW32" i="361" a="1"/>
  <c r="AW32" i="361" s="1"/>
  <c r="Z9" i="360"/>
  <c r="Z9" i="352"/>
  <c r="G9" i="361"/>
  <c r="AW38" i="354" a="1"/>
  <c r="AW38" i="354" s="1"/>
  <c r="AW34" i="356" a="1"/>
  <c r="AW34" i="356" s="1"/>
  <c r="T9" i="361"/>
  <c r="D9" i="360"/>
  <c r="AW48" i="357" a="1"/>
  <c r="AW48" i="357" s="1"/>
  <c r="AW15" i="358" a="1"/>
  <c r="AW15" i="358" s="1"/>
  <c r="AW20" i="362" a="1"/>
  <c r="AW20" i="362" s="1"/>
  <c r="L9" i="357"/>
  <c r="AW15" i="359" a="1"/>
  <c r="AW15" i="359" s="1"/>
  <c r="M9" i="352"/>
  <c r="AW22" i="355" a="1"/>
  <c r="AW22" i="355" s="1"/>
  <c r="AW47" i="359" a="1"/>
  <c r="AW47" i="359" s="1"/>
  <c r="AW31" i="357" a="1"/>
  <c r="AW31" i="357" s="1"/>
  <c r="AW18" i="362" a="1"/>
  <c r="AW18" i="362" s="1"/>
  <c r="C9" i="358"/>
  <c r="Y9" i="359"/>
  <c r="AW37" i="359" a="1"/>
  <c r="AW37" i="359" s="1"/>
  <c r="O9" i="352"/>
  <c r="V9" i="356"/>
  <c r="G9" i="354"/>
  <c r="I9" i="353"/>
  <c r="K9" i="357"/>
  <c r="T9" i="355"/>
  <c r="G9" i="352"/>
  <c r="R9" i="360"/>
  <c r="G9" i="356"/>
  <c r="G9" i="360"/>
  <c r="Z9" i="354"/>
  <c r="U9" i="352"/>
  <c r="AG9" i="352"/>
  <c r="AW48" i="330" a="1"/>
  <c r="AW48" i="330" s="1"/>
  <c r="AW20" i="361" a="1"/>
  <c r="AW20" i="361" s="1"/>
  <c r="J9" i="352"/>
  <c r="K9" i="330"/>
  <c r="AW24" i="330" a="1"/>
  <c r="AW24" i="330" s="1"/>
  <c r="AW10" i="352" a="1"/>
  <c r="AW10" i="352" s="1"/>
  <c r="AW39" i="354" a="1"/>
  <c r="AW39" i="354" s="1"/>
  <c r="W9" i="330"/>
  <c r="O9" i="330"/>
  <c r="AW22" i="353" a="1"/>
  <c r="AW22" i="353" s="1"/>
  <c r="AW47" i="356" a="1"/>
  <c r="AW47" i="356" s="1"/>
  <c r="V9" i="355"/>
  <c r="AW46" i="358" a="1"/>
  <c r="AW46" i="358" s="1"/>
  <c r="AW17" i="360" a="1"/>
  <c r="AW17" i="360" s="1"/>
  <c r="M9" i="361"/>
  <c r="AW39" i="359" a="1"/>
  <c r="AW39" i="359" s="1"/>
  <c r="K9" i="354"/>
  <c r="AG9" i="356"/>
  <c r="P9" i="359"/>
  <c r="H9" i="353"/>
  <c r="P9" i="354"/>
  <c r="J9" i="359"/>
  <c r="AW36" i="352" a="1"/>
  <c r="AW36" i="352" s="1"/>
  <c r="AW41" i="357" a="1"/>
  <c r="AW41" i="357" s="1"/>
  <c r="AW17" i="330" a="1"/>
  <c r="AW17" i="330" s="1"/>
  <c r="AW26" i="356" a="1"/>
  <c r="AW26" i="356" s="1"/>
  <c r="AW47" i="353" a="1"/>
  <c r="AW47" i="353" s="1"/>
  <c r="Y9" i="356"/>
  <c r="AW27" i="359" a="1"/>
  <c r="AW27" i="359" s="1"/>
  <c r="N9" i="361"/>
  <c r="AW26" i="353" a="1"/>
  <c r="AW26" i="353" s="1"/>
  <c r="Y9" i="362"/>
  <c r="AW37" i="353" a="1"/>
  <c r="AW37" i="353" s="1"/>
  <c r="AW43" i="330" a="1"/>
  <c r="AW43" i="330" s="1"/>
  <c r="AA9" i="330"/>
  <c r="AW36" i="356" a="1"/>
  <c r="AW36" i="356" s="1"/>
  <c r="AW44" i="361" a="1"/>
  <c r="AW44" i="361" s="1"/>
  <c r="AW39" i="330" a="1"/>
  <c r="AW39" i="330" s="1"/>
  <c r="S9" i="352"/>
  <c r="AW47" i="355" a="1"/>
  <c r="AW47" i="355" s="1"/>
  <c r="AC9" i="354"/>
  <c r="AW32" i="360" a="1"/>
  <c r="AW32" i="360" s="1"/>
  <c r="AW33" i="355" a="1"/>
  <c r="AW33" i="355" s="1"/>
  <c r="AW19" i="352" a="1"/>
  <c r="AW19" i="352" s="1"/>
  <c r="AW33" i="356" a="1"/>
  <c r="AW33" i="356" s="1"/>
  <c r="AF9" i="354"/>
  <c r="AW42" i="360" a="1"/>
  <c r="AW42" i="360" s="1"/>
  <c r="AW43" i="358" a="1"/>
  <c r="AW43" i="358" s="1"/>
  <c r="I9" i="357"/>
  <c r="AA9" i="352"/>
  <c r="AW45" i="358" a="1"/>
  <c r="AW45" i="358" s="1"/>
  <c r="AW44" i="352" a="1"/>
  <c r="AW44" i="352" s="1"/>
  <c r="AW34" i="353" a="1"/>
  <c r="AW34" i="353" s="1"/>
  <c r="N9" i="330"/>
  <c r="AW17" i="352" a="1"/>
  <c r="AW17" i="352" s="1"/>
  <c r="AW43" i="353" a="1"/>
  <c r="AW43" i="353" s="1"/>
  <c r="H9" i="356"/>
  <c r="AF9" i="361"/>
  <c r="V9" i="361"/>
  <c r="C9" i="361"/>
  <c r="L9" i="352"/>
  <c r="AW11" i="330" a="1"/>
  <c r="AW11" i="330" s="1"/>
  <c r="AW29" i="330" a="1"/>
  <c r="AW29" i="330" s="1"/>
  <c r="AW39" i="352" a="1"/>
  <c r="AW39" i="352" s="1"/>
  <c r="AW33" i="353" a="1"/>
  <c r="AW33" i="353" s="1"/>
  <c r="AW43" i="355" a="1"/>
  <c r="AW43" i="355" s="1"/>
  <c r="AW43" i="362" a="1"/>
  <c r="AW43" i="362" s="1"/>
  <c r="AW47" i="358" a="1"/>
  <c r="AW47" i="358" s="1"/>
  <c r="AD9" i="357"/>
  <c r="AW20" i="360" a="1"/>
  <c r="AW20" i="360" s="1"/>
  <c r="F9" i="330"/>
  <c r="AW40" i="352" a="1"/>
  <c r="AW40" i="352" s="1"/>
  <c r="AW18" i="353" a="1"/>
  <c r="AW18" i="353" s="1"/>
  <c r="AW39" i="355" a="1"/>
  <c r="AW39" i="355" s="1"/>
  <c r="AW12" i="360" a="1"/>
  <c r="AW12" i="360" s="1"/>
  <c r="AW18" i="358" a="1"/>
  <c r="AW18" i="358" s="1"/>
  <c r="O9" i="360"/>
  <c r="D9" i="354"/>
  <c r="AW48" i="354" a="1"/>
  <c r="AW48" i="354" s="1"/>
  <c r="AW33" i="330" a="1"/>
  <c r="AW33" i="330" s="1"/>
  <c r="AF9" i="330"/>
  <c r="AW43" i="352" a="1"/>
  <c r="AW43" i="352" s="1"/>
  <c r="AW28" i="354" a="1"/>
  <c r="AW28" i="354" s="1"/>
  <c r="AW26" i="360" a="1"/>
  <c r="AW26" i="360" s="1"/>
  <c r="AW25" i="358" a="1"/>
  <c r="AW25" i="358" s="1"/>
  <c r="V9" i="359"/>
  <c r="S9" i="354"/>
  <c r="AE9" i="330"/>
  <c r="AW10" i="354" a="1"/>
  <c r="AW10" i="354" s="1"/>
  <c r="AW38" i="356" a="1"/>
  <c r="AW38" i="356" s="1"/>
  <c r="AW37" i="360" a="1"/>
  <c r="AW37" i="360" s="1"/>
  <c r="AW32" i="357" a="1"/>
  <c r="AW32" i="357" s="1"/>
  <c r="D9" i="358"/>
  <c r="AW48" i="361" a="1"/>
  <c r="AW48" i="361" s="1"/>
  <c r="P9" i="358"/>
  <c r="U9" i="356"/>
  <c r="K9" i="355"/>
  <c r="AW32" i="354" a="1"/>
  <c r="AW32" i="354" s="1"/>
  <c r="AW10" i="356" a="1"/>
  <c r="AW10" i="356" s="1"/>
  <c r="AW23" i="360" a="1"/>
  <c r="AW23" i="360" s="1"/>
  <c r="AW41" i="359" a="1"/>
  <c r="AW41" i="359" s="1"/>
  <c r="AW30" i="358" a="1"/>
  <c r="AW30" i="358" s="1"/>
  <c r="AW10" i="361" a="1"/>
  <c r="AW10" i="361" s="1"/>
  <c r="AW12" i="359" a="1"/>
  <c r="AW12" i="359" s="1"/>
  <c r="AW24" i="352" a="1"/>
  <c r="AW24" i="352" s="1"/>
  <c r="AW40" i="354" a="1"/>
  <c r="AW40" i="354" s="1"/>
  <c r="AW49" i="355" a="1"/>
  <c r="AW49" i="355" s="1"/>
  <c r="AW49" i="356" a="1"/>
  <c r="AW49" i="356" s="1"/>
  <c r="I9" i="359"/>
  <c r="AW27" i="360" a="1"/>
  <c r="AW27" i="360" s="1"/>
  <c r="AW23" i="357" a="1"/>
  <c r="AW23" i="357" s="1"/>
  <c r="AW20" i="358" a="1"/>
  <c r="AW20" i="358" s="1"/>
  <c r="AW29" i="361" a="1"/>
  <c r="AW29" i="361" s="1"/>
  <c r="J9" i="360"/>
  <c r="N9" i="356"/>
  <c r="K9" i="359"/>
  <c r="AW36" i="355" a="1"/>
  <c r="AW36" i="355" s="1"/>
  <c r="AW25" i="360" a="1"/>
  <c r="AW25" i="360" s="1"/>
  <c r="AW33" i="357" a="1"/>
  <c r="AW33" i="357" s="1"/>
  <c r="AW19" i="358" a="1"/>
  <c r="AW19" i="358" s="1"/>
  <c r="AW49" i="362" a="1"/>
  <c r="AW49" i="362" s="1"/>
  <c r="AW30" i="362" a="1"/>
  <c r="AW30" i="362" s="1"/>
  <c r="Z9" i="359"/>
  <c r="Y9" i="352"/>
  <c r="V9" i="330"/>
  <c r="V9" i="352"/>
  <c r="N9" i="355"/>
  <c r="C9" i="352"/>
  <c r="L9" i="356"/>
  <c r="H9" i="361"/>
  <c r="AC9" i="355"/>
  <c r="K9" i="353"/>
  <c r="I9" i="352"/>
  <c r="O9" i="362"/>
  <c r="AT29" i="330" l="1" a="1"/>
  <c r="AT29" i="330" s="1"/>
  <c r="AU45" i="330" a="1"/>
  <c r="AU45" i="330" s="1"/>
  <c r="AL45" i="330" s="1"/>
  <c r="AU23" i="330" a="1"/>
  <c r="AU23" i="330" s="1"/>
  <c r="AL23" i="330" s="1"/>
  <c r="AS37" i="330" a="1"/>
  <c r="AS37" i="330" s="1"/>
  <c r="AS49" i="330" a="1"/>
  <c r="AS49" i="330" s="1"/>
  <c r="AU40" i="330" a="1"/>
  <c r="AU40" i="330" s="1"/>
  <c r="AL40" i="330" s="1"/>
  <c r="AU21" i="330" a="1"/>
  <c r="AU21" i="330" s="1"/>
  <c r="AL21" i="330" s="1"/>
  <c r="AT49" i="356" a="1"/>
  <c r="AT49" i="356" s="1"/>
  <c r="AU36" i="330" a="1"/>
  <c r="AU36" i="330" s="1"/>
  <c r="AL36" i="330" s="1"/>
  <c r="AT25" i="330" a="1"/>
  <c r="AT25" i="330" s="1"/>
  <c r="AU33" i="330" a="1"/>
  <c r="AU33" i="330" s="1"/>
  <c r="AL33" i="330" s="1"/>
  <c r="AS47" i="330" a="1"/>
  <c r="AS47" i="330" s="1"/>
  <c r="AS13" i="330" a="1"/>
  <c r="AS13" i="330" s="1"/>
  <c r="AS20" i="330" a="1"/>
  <c r="AS20" i="330" s="1"/>
  <c r="AU31" i="330" a="1"/>
  <c r="AU31" i="330" s="1"/>
  <c r="AL31" i="330" s="1"/>
  <c r="AS29" i="330" a="1"/>
  <c r="AS29" i="330" s="1"/>
  <c r="AM29" i="330" s="1"/>
  <c r="AU10" i="330" a="1"/>
  <c r="AU10" i="330" s="1"/>
  <c r="AL10" i="330" s="1"/>
  <c r="AU18" i="330" a="1"/>
  <c r="AU18" i="330" s="1"/>
  <c r="AL18" i="330" s="1"/>
  <c r="AT11" i="330" a="1"/>
  <c r="AT11" i="330" s="1"/>
  <c r="AT36" i="330" a="1"/>
  <c r="AT36" i="330" s="1"/>
  <c r="AU44" i="330" a="1"/>
  <c r="AU44" i="330" s="1"/>
  <c r="AL44" i="330" s="1"/>
  <c r="AT21" i="330" a="1"/>
  <c r="AT21" i="330" s="1"/>
  <c r="AS42" i="357" a="1"/>
  <c r="AS42" i="357" s="1"/>
  <c r="AT22" i="357" a="1"/>
  <c r="AT22" i="357" s="1"/>
  <c r="AT44" i="357" a="1"/>
  <c r="AT44" i="357" s="1"/>
  <c r="AS19" i="357" a="1"/>
  <c r="AS19" i="357" s="1"/>
  <c r="AS41" i="357" a="1"/>
  <c r="AS41" i="357" s="1"/>
  <c r="AS22" i="357" a="1"/>
  <c r="AS22" i="357" s="1"/>
  <c r="AS34" i="357" a="1"/>
  <c r="AS34" i="357" s="1"/>
  <c r="AT27" i="357" a="1"/>
  <c r="AT27" i="357" s="1"/>
  <c r="AU16" i="357" a="1"/>
  <c r="AU16" i="357" s="1"/>
  <c r="AL16" i="357" s="1"/>
  <c r="AT17" i="357" a="1"/>
  <c r="AT17" i="357" s="1"/>
  <c r="AU10" i="357" a="1"/>
  <c r="AU10" i="357" s="1"/>
  <c r="AL10" i="357" s="1"/>
  <c r="AT42" i="357" a="1"/>
  <c r="AT42" i="357" s="1"/>
  <c r="AS36" i="357" a="1"/>
  <c r="AS36" i="357" s="1"/>
  <c r="AS18" i="357" a="1"/>
  <c r="AS18" i="357" s="1"/>
  <c r="AT23" i="357" a="1"/>
  <c r="AT23" i="357" s="1"/>
  <c r="AT41" i="357" a="1"/>
  <c r="AT41" i="357" s="1"/>
  <c r="AU21" i="357" a="1"/>
  <c r="AU21" i="357" s="1"/>
  <c r="AL21" i="357" s="1"/>
  <c r="AU43" i="357" a="1"/>
  <c r="AU43" i="357" s="1"/>
  <c r="AL43" i="357" s="1"/>
  <c r="AU18" i="357" a="1"/>
  <c r="AU18" i="357" s="1"/>
  <c r="AL18" i="357" s="1"/>
  <c r="AU40" i="357" a="1"/>
  <c r="AU40" i="357" s="1"/>
  <c r="AL40" i="357" s="1"/>
  <c r="AT21" i="357" a="1"/>
  <c r="AT21" i="357" s="1"/>
  <c r="AU32" i="357" a="1"/>
  <c r="AU32" i="357" s="1"/>
  <c r="AL32" i="357" s="1"/>
  <c r="AS17" i="357" a="1"/>
  <c r="AS17" i="357" s="1"/>
  <c r="AS12" i="357" a="1"/>
  <c r="AS12" i="357" s="1"/>
  <c r="AT11" i="357" a="1"/>
  <c r="AT11" i="357" s="1"/>
  <c r="AU35" i="357" a="1"/>
  <c r="AU35" i="357" s="1"/>
  <c r="AL35" i="357" s="1"/>
  <c r="AT36" i="357" a="1"/>
  <c r="AT36" i="357" s="1"/>
  <c r="AT30" i="357" a="1"/>
  <c r="AT30" i="357" s="1"/>
  <c r="AT13" i="357" a="1"/>
  <c r="AT13" i="357" s="1"/>
  <c r="AU20" i="357" a="1"/>
  <c r="AU20" i="357" s="1"/>
  <c r="AL20" i="357" s="1"/>
  <c r="AT38" i="357" a="1"/>
  <c r="AT38" i="357" s="1"/>
  <c r="AS13" i="357" a="1"/>
  <c r="AS13" i="357" s="1"/>
  <c r="AS35" i="357" a="1"/>
  <c r="AS35" i="357" s="1"/>
  <c r="AS16" i="357" a="1"/>
  <c r="AS16" i="357" s="1"/>
  <c r="AS38" i="357" a="1"/>
  <c r="AS38" i="357" s="1"/>
  <c r="AT18" i="357" a="1"/>
  <c r="AT18" i="357" s="1"/>
  <c r="AS31" i="357" a="1"/>
  <c r="AS31" i="357" s="1"/>
  <c r="AU47" i="357" a="1"/>
  <c r="AU47" i="357" s="1"/>
  <c r="AL47" i="357" s="1"/>
  <c r="AS46" i="357" a="1"/>
  <c r="AS46" i="357" s="1"/>
  <c r="AT14" i="357" a="1"/>
  <c r="AT14" i="357" s="1"/>
  <c r="AS30" i="357" a="1"/>
  <c r="AS30" i="357" s="1"/>
  <c r="AS20" i="357" a="1"/>
  <c r="AS20" i="357" s="1"/>
  <c r="AU19" i="357" a="1"/>
  <c r="AU19" i="357" s="1"/>
  <c r="AL19" i="357" s="1"/>
  <c r="AS43" i="357" a="1"/>
  <c r="AS43" i="357" s="1"/>
  <c r="AU31" i="357" a="1"/>
  <c r="AU31" i="357" s="1"/>
  <c r="AL31" i="357" s="1"/>
  <c r="AS29" i="357" a="1"/>
  <c r="AS29" i="357" s="1"/>
  <c r="AS10" i="357" a="1"/>
  <c r="AS10" i="357" s="1"/>
  <c r="AS32" i="357" a="1"/>
  <c r="AS32" i="357" s="1"/>
  <c r="AT12" i="357" a="1"/>
  <c r="AT12" i="357" s="1"/>
  <c r="AT34" i="357" a="1"/>
  <c r="AT34" i="357" s="1"/>
  <c r="AT48" i="357" a="1"/>
  <c r="AT48" i="357" s="1"/>
  <c r="AS28" i="357" a="1"/>
  <c r="AS28" i="357" s="1"/>
  <c r="AU25" i="357" a="1"/>
  <c r="AU25" i="357" s="1"/>
  <c r="AL25" i="357" s="1"/>
  <c r="AT39" i="357" a="1"/>
  <c r="AT39" i="357" s="1"/>
  <c r="AS14" i="357" a="1"/>
  <c r="AS14" i="357" s="1"/>
  <c r="AS15" i="357" a="1"/>
  <c r="AS15" i="357" s="1"/>
  <c r="AU30" i="357" a="1"/>
  <c r="AU30" i="357" s="1"/>
  <c r="AL30" i="357" s="1"/>
  <c r="AS33" i="357" a="1"/>
  <c r="AS33" i="357" s="1"/>
  <c r="AU41" i="357" a="1"/>
  <c r="AU41" i="357" s="1"/>
  <c r="AL41" i="357" s="1"/>
  <c r="AU26" i="357" a="1"/>
  <c r="AU26" i="357" s="1"/>
  <c r="AL26" i="357" s="1"/>
  <c r="AU28" i="357" a="1"/>
  <c r="AU28" i="357" s="1"/>
  <c r="AL28" i="357" s="1"/>
  <c r="AU46" i="357" a="1"/>
  <c r="AU46" i="357" s="1"/>
  <c r="AL46" i="357" s="1"/>
  <c r="AT31" i="357" a="1"/>
  <c r="AT31" i="357" s="1"/>
  <c r="AU11" i="357" a="1"/>
  <c r="AU11" i="357" s="1"/>
  <c r="AL11" i="357" s="1"/>
  <c r="AU33" i="357" a="1"/>
  <c r="AU33" i="357" s="1"/>
  <c r="AL33" i="357" s="1"/>
  <c r="AU45" i="357" a="1"/>
  <c r="AU45" i="357" s="1"/>
  <c r="AL45" i="357" s="1"/>
  <c r="AT26" i="357" a="1"/>
  <c r="AT26" i="357" s="1"/>
  <c r="AS21" i="357" a="1"/>
  <c r="AS21" i="357" s="1"/>
  <c r="AU36" i="357" a="1"/>
  <c r="AU36" i="357" s="1"/>
  <c r="AL36" i="357" s="1"/>
  <c r="AT40" i="357" a="1"/>
  <c r="AT40" i="357" s="1"/>
  <c r="AT10" i="357" a="1"/>
  <c r="AT10" i="357" s="1"/>
  <c r="AT24" i="357" a="1"/>
  <c r="AT24" i="357" s="1"/>
  <c r="AU23" i="357" a="1"/>
  <c r="AU23" i="357" s="1"/>
  <c r="AL23" i="357" s="1"/>
  <c r="AT16" i="357" a="1"/>
  <c r="AT16" i="357" s="1"/>
  <c r="AT46" i="357" a="1"/>
  <c r="AT46" i="357" s="1"/>
  <c r="AS26" i="357" a="1"/>
  <c r="AS26" i="357" s="1"/>
  <c r="AT15" i="357" a="1"/>
  <c r="AT15" i="357" s="1"/>
  <c r="AT35" i="357" a="1"/>
  <c r="AT35" i="357" s="1"/>
  <c r="AT32" i="357" a="1"/>
  <c r="AT32" i="357" s="1"/>
  <c r="AS39" i="357" a="1"/>
  <c r="AS39" i="357" s="1"/>
  <c r="AU48" i="357" a="1"/>
  <c r="AU48" i="357" s="1"/>
  <c r="AL48" i="357" s="1"/>
  <c r="AT25" i="357" a="1"/>
  <c r="AT25" i="357" s="1"/>
  <c r="AS47" i="357" a="1"/>
  <c r="AS47" i="357" s="1"/>
  <c r="AT29" i="357" a="1"/>
  <c r="AT29" i="357" s="1"/>
  <c r="AS23" i="357" a="1"/>
  <c r="AS23" i="357" s="1"/>
  <c r="AS11" i="357" a="1"/>
  <c r="AS11" i="357" s="1"/>
  <c r="AS40" i="357" a="1"/>
  <c r="AS40" i="357" s="1"/>
  <c r="AU12" i="357" a="1"/>
  <c r="AU12" i="357" s="1"/>
  <c r="AL12" i="357" s="1"/>
  <c r="AU49" i="357" a="1"/>
  <c r="AU49" i="357" s="1"/>
  <c r="AL49" i="357" s="1"/>
  <c r="AT20" i="357" a="1"/>
  <c r="AT20" i="357" s="1"/>
  <c r="AT33" i="357" a="1"/>
  <c r="AT33" i="357" s="1"/>
  <c r="AT49" i="357" a="1"/>
  <c r="AT49" i="357" s="1"/>
  <c r="AS48" i="357" a="1"/>
  <c r="AS48" i="357" s="1"/>
  <c r="AT37" i="357" a="1"/>
  <c r="AT37" i="357" s="1"/>
  <c r="AU14" i="357" a="1"/>
  <c r="AU14" i="357" s="1"/>
  <c r="AL14" i="357" s="1"/>
  <c r="AS27" i="357" a="1"/>
  <c r="AS27" i="357" s="1"/>
  <c r="AT43" i="357" a="1"/>
  <c r="AT43" i="357" s="1"/>
  <c r="AT47" i="357" a="1"/>
  <c r="AT47" i="357" s="1"/>
  <c r="AS25" i="357" a="1"/>
  <c r="AS25" i="357" s="1"/>
  <c r="AU13" i="357" a="1"/>
  <c r="AU13" i="357" s="1"/>
  <c r="AL13" i="357" s="1"/>
  <c r="AS24" i="357" a="1"/>
  <c r="AS24" i="357" s="1"/>
  <c r="AU15" i="357" a="1"/>
  <c r="AU15" i="357" s="1"/>
  <c r="AL15" i="357" s="1"/>
  <c r="AU24" i="357" a="1"/>
  <c r="AU24" i="357" s="1"/>
  <c r="AL24" i="357" s="1"/>
  <c r="AS44" i="357" a="1"/>
  <c r="AS44" i="357" s="1"/>
  <c r="AU17" i="357" a="1"/>
  <c r="AU17" i="357" s="1"/>
  <c r="AL17" i="357" s="1"/>
  <c r="AS49" i="357" a="1"/>
  <c r="AS49" i="357" s="1"/>
  <c r="AS45" i="357" a="1"/>
  <c r="AS45" i="357" s="1"/>
  <c r="AU38" i="357" a="1"/>
  <c r="AU38" i="357" s="1"/>
  <c r="AL38" i="357" s="1"/>
  <c r="AU39" i="357" a="1"/>
  <c r="AU39" i="357" s="1"/>
  <c r="AL39" i="357" s="1"/>
  <c r="AU44" i="357" a="1"/>
  <c r="AU44" i="357" s="1"/>
  <c r="AL44" i="357" s="1"/>
  <c r="AU29" i="357" a="1"/>
  <c r="AU29" i="357" s="1"/>
  <c r="AL29" i="357" s="1"/>
  <c r="AS37" i="357" a="1"/>
  <c r="AS37" i="357" s="1"/>
  <c r="AU37" i="357" a="1"/>
  <c r="AU37" i="357" s="1"/>
  <c r="AL37" i="357" s="1"/>
  <c r="AU22" i="357" a="1"/>
  <c r="AU22" i="357" s="1"/>
  <c r="AL22" i="357" s="1"/>
  <c r="AU34" i="357" a="1"/>
  <c r="AU34" i="357" s="1"/>
  <c r="AL34" i="357" s="1"/>
  <c r="AU42" i="357" a="1"/>
  <c r="AU42" i="357" s="1"/>
  <c r="AL42" i="357" s="1"/>
  <c r="AT45" i="357" a="1"/>
  <c r="AT45" i="357" s="1"/>
  <c r="AT19" i="357" a="1"/>
  <c r="AT19" i="357" s="1"/>
  <c r="AT28" i="357" a="1"/>
  <c r="AT28" i="357" s="1"/>
  <c r="AU27" i="357" a="1"/>
  <c r="AU27" i="357" s="1"/>
  <c r="AL27" i="357" s="1"/>
  <c r="AS14" i="362" a="1"/>
  <c r="AS14" i="362" s="1"/>
  <c r="AS15" i="362" a="1"/>
  <c r="AS15" i="362" s="1"/>
  <c r="AT17" i="330" a="1"/>
  <c r="AT17" i="330" s="1"/>
  <c r="AT20" i="330" a="1"/>
  <c r="AT20" i="330" s="1"/>
  <c r="AU13" i="330" a="1"/>
  <c r="AU13" i="330" s="1"/>
  <c r="AL13" i="330" s="1"/>
  <c r="AS34" i="352" a="1"/>
  <c r="AS34" i="352" s="1"/>
  <c r="AS45" i="352" a="1"/>
  <c r="AS45" i="352" s="1"/>
  <c r="AS44" i="352" a="1"/>
  <c r="AS44" i="352" s="1"/>
  <c r="AT23" i="352" a="1"/>
  <c r="AT23" i="352" s="1"/>
  <c r="AS48" i="352" a="1"/>
  <c r="AS48" i="352" s="1"/>
  <c r="AT12" i="352" a="1"/>
  <c r="AT12" i="352" s="1"/>
  <c r="AU34" i="352" a="1"/>
  <c r="AU34" i="352" s="1"/>
  <c r="AL34" i="352" s="1"/>
  <c r="AU30" i="352" a="1"/>
  <c r="AU30" i="352" s="1"/>
  <c r="AL30" i="352" s="1"/>
  <c r="AT15" i="352" a="1"/>
  <c r="AT15" i="352" s="1"/>
  <c r="AU32" i="352" a="1"/>
  <c r="AU32" i="352" s="1"/>
  <c r="AL32" i="352" s="1"/>
  <c r="AU37" i="352" a="1"/>
  <c r="AU37" i="352" s="1"/>
  <c r="AL37" i="352" s="1"/>
  <c r="AT34" i="352" a="1"/>
  <c r="AT34" i="352" s="1"/>
  <c r="AU35" i="352" a="1"/>
  <c r="AU35" i="352" s="1"/>
  <c r="AL35" i="352" s="1"/>
  <c r="AT19" i="352" a="1"/>
  <c r="AT19" i="352" s="1"/>
  <c r="AS10" i="352" a="1"/>
  <c r="AS10" i="352" s="1"/>
  <c r="AS21" i="352" a="1"/>
  <c r="AS21" i="352" s="1"/>
  <c r="AU42" i="352" a="1"/>
  <c r="AU42" i="352" s="1"/>
  <c r="AL42" i="352" s="1"/>
  <c r="AU28" i="352" a="1"/>
  <c r="AU28" i="352" s="1"/>
  <c r="AL28" i="352" s="1"/>
  <c r="AT16" i="352" a="1"/>
  <c r="AT16" i="352" s="1"/>
  <c r="AU40" i="352" a="1"/>
  <c r="AU40" i="352" s="1"/>
  <c r="AL40" i="352" s="1"/>
  <c r="AS47" i="352" a="1"/>
  <c r="AS47" i="352" s="1"/>
  <c r="AU36" i="352" a="1"/>
  <c r="AU36" i="352" s="1"/>
  <c r="AL36" i="352" s="1"/>
  <c r="AT26" i="352" a="1"/>
  <c r="AT26" i="352" s="1"/>
  <c r="AT35" i="352" a="1"/>
  <c r="AT35" i="352" s="1"/>
  <c r="AS14" i="352" a="1"/>
  <c r="AS14" i="352" s="1"/>
  <c r="AU24" i="352" a="1"/>
  <c r="AU24" i="352" s="1"/>
  <c r="AL24" i="352" s="1"/>
  <c r="AU47" i="352" a="1"/>
  <c r="AU47" i="352" s="1"/>
  <c r="AL47" i="352" s="1"/>
  <c r="AU11" i="352" a="1"/>
  <c r="AU11" i="352" s="1"/>
  <c r="AL11" i="352" s="1"/>
  <c r="AS39" i="352" a="1"/>
  <c r="AS39" i="352" s="1"/>
  <c r="AT21" i="352" a="1"/>
  <c r="AT21" i="352" s="1"/>
  <c r="AT11" i="352" a="1"/>
  <c r="AT11" i="352" s="1"/>
  <c r="AT28" i="352" a="1"/>
  <c r="AT28" i="352" s="1"/>
  <c r="AT31" i="352" a="1"/>
  <c r="AT31" i="352" s="1"/>
  <c r="AS31" i="352" a="1"/>
  <c r="AS31" i="352" s="1"/>
  <c r="AT44" i="352" a="1"/>
  <c r="AT44" i="352" s="1"/>
  <c r="AS22" i="352" a="1"/>
  <c r="AS22" i="352" s="1"/>
  <c r="AS36" i="352" a="1"/>
  <c r="AS36" i="352" s="1"/>
  <c r="AS40" i="352" a="1"/>
  <c r="AS40" i="352" s="1"/>
  <c r="AS24" i="352" a="1"/>
  <c r="AS24" i="352" s="1"/>
  <c r="AT33" i="352" a="1"/>
  <c r="AT33" i="352" s="1"/>
  <c r="AU29" i="352" a="1"/>
  <c r="AU29" i="352" s="1"/>
  <c r="AL29" i="352" s="1"/>
  <c r="AU18" i="352" a="1"/>
  <c r="AU18" i="352" s="1"/>
  <c r="AL18" i="352" s="1"/>
  <c r="AS25" i="352" a="1"/>
  <c r="AS25" i="352" s="1"/>
  <c r="AU20" i="352" a="1"/>
  <c r="AU20" i="352" s="1"/>
  <c r="AL20" i="352" s="1"/>
  <c r="AT49" i="352" a="1"/>
  <c r="AT49" i="352" s="1"/>
  <c r="AS12" i="352" a="1"/>
  <c r="AS12" i="352" s="1"/>
  <c r="AU39" i="352" a="1"/>
  <c r="AU39" i="352" s="1"/>
  <c r="AL39" i="352" s="1"/>
  <c r="AT22" i="352" a="1"/>
  <c r="AT22" i="352" s="1"/>
  <c r="AT41" i="352" a="1"/>
  <c r="AT41" i="352" s="1"/>
  <c r="AU38" i="352" a="1"/>
  <c r="AU38" i="352" s="1"/>
  <c r="AL38" i="352" s="1"/>
  <c r="AS30" i="352" a="1"/>
  <c r="AS30" i="352" s="1"/>
  <c r="AT46" i="352" a="1"/>
  <c r="AT46" i="352" s="1"/>
  <c r="AS26" i="352" a="1"/>
  <c r="AS26" i="352" s="1"/>
  <c r="AU45" i="352" a="1"/>
  <c r="AU45" i="352" s="1"/>
  <c r="AL45" i="352" s="1"/>
  <c r="AU44" i="352" a="1"/>
  <c r="AU44" i="352" s="1"/>
  <c r="AL44" i="352" s="1"/>
  <c r="AS20" i="352" a="1"/>
  <c r="AS20" i="352" s="1"/>
  <c r="AU15" i="352" a="1"/>
  <c r="AU15" i="352" s="1"/>
  <c r="AL15" i="352" s="1"/>
  <c r="AT32" i="352" a="1"/>
  <c r="AT32" i="352" s="1"/>
  <c r="AT38" i="352" a="1"/>
  <c r="AT38" i="352" s="1"/>
  <c r="AU48" i="352" a="1"/>
  <c r="AU48" i="352" s="1"/>
  <c r="AL48" i="352" s="1"/>
  <c r="AT24" i="352" a="1"/>
  <c r="AT24" i="352" s="1"/>
  <c r="AT13" i="352" a="1"/>
  <c r="AT13" i="352" s="1"/>
  <c r="AU22" i="352" a="1"/>
  <c r="AU22" i="352" s="1"/>
  <c r="AL22" i="352" s="1"/>
  <c r="AU14" i="352" a="1"/>
  <c r="AU14" i="352" s="1"/>
  <c r="AL14" i="352" s="1"/>
  <c r="AT17" i="352" a="1"/>
  <c r="AT17" i="352" s="1"/>
  <c r="AS43" i="352" a="1"/>
  <c r="AS43" i="352" s="1"/>
  <c r="AS16" i="352" a="1"/>
  <c r="AS16" i="352" s="1"/>
  <c r="AM16" i="352" s="1"/>
  <c r="AT14" i="352" a="1"/>
  <c r="AT14" i="352" s="1"/>
  <c r="AS29" i="352" a="1"/>
  <c r="AS29" i="352" s="1"/>
  <c r="AT47" i="352" a="1"/>
  <c r="AT47" i="352" s="1"/>
  <c r="AS49" i="352" a="1"/>
  <c r="AS49" i="352" s="1"/>
  <c r="AS23" i="352" a="1"/>
  <c r="AS23" i="352" s="1"/>
  <c r="AT43" i="352" a="1"/>
  <c r="AT43" i="352" s="1"/>
  <c r="AS15" i="352" a="1"/>
  <c r="AS15" i="352" s="1"/>
  <c r="AU43" i="352" a="1"/>
  <c r="AU43" i="352" s="1"/>
  <c r="AL43" i="352" s="1"/>
  <c r="AU23" i="352" a="1"/>
  <c r="AU23" i="352" s="1"/>
  <c r="AL23" i="352" s="1"/>
  <c r="AT30" i="352" a="1"/>
  <c r="AT30" i="352" s="1"/>
  <c r="AU10" i="352" a="1"/>
  <c r="AU10" i="352" s="1"/>
  <c r="AL10" i="352" s="1"/>
  <c r="AT25" i="352" a="1"/>
  <c r="AT25" i="352" s="1"/>
  <c r="AT37" i="352" a="1"/>
  <c r="AT37" i="352" s="1"/>
  <c r="AU33" i="352" a="1"/>
  <c r="AU33" i="352" s="1"/>
  <c r="AL33" i="352" s="1"/>
  <c r="AT40" i="352" a="1"/>
  <c r="AT40" i="352" s="1"/>
  <c r="AU16" i="352" a="1"/>
  <c r="AU16" i="352" s="1"/>
  <c r="AL16" i="352" s="1"/>
  <c r="AT48" i="352" a="1"/>
  <c r="AT48" i="352" s="1"/>
  <c r="AT29" i="352" a="1"/>
  <c r="AT29" i="352" s="1"/>
  <c r="AS18" i="352" a="1"/>
  <c r="AS18" i="352" s="1"/>
  <c r="AU21" i="352" a="1"/>
  <c r="AU21" i="352" s="1"/>
  <c r="AL21" i="352" s="1"/>
  <c r="AU19" i="352" a="1"/>
  <c r="AU19" i="352" s="1"/>
  <c r="AL19" i="352" s="1"/>
  <c r="AT18" i="352" a="1"/>
  <c r="AT18" i="352" s="1"/>
  <c r="AU27" i="352" a="1"/>
  <c r="AU27" i="352" s="1"/>
  <c r="AL27" i="352" s="1"/>
  <c r="AU12" i="352" a="1"/>
  <c r="AU12" i="352" s="1"/>
  <c r="AL12" i="352" s="1"/>
  <c r="AU31" i="352" a="1"/>
  <c r="AU31" i="352" s="1"/>
  <c r="AL31" i="352" s="1"/>
  <c r="AU46" i="352" a="1"/>
  <c r="AU46" i="352" s="1"/>
  <c r="AL46" i="352" s="1"/>
  <c r="AU49" i="352" a="1"/>
  <c r="AU49" i="352" s="1"/>
  <c r="AL49" i="352" s="1"/>
  <c r="AS13" i="352" a="1"/>
  <c r="AS13" i="352" s="1"/>
  <c r="AU26" i="352" a="1"/>
  <c r="AU26" i="352" s="1"/>
  <c r="AL26" i="352" s="1"/>
  <c r="AS35" i="352" a="1"/>
  <c r="AS35" i="352" s="1"/>
  <c r="AS33" i="352" a="1"/>
  <c r="AS33" i="352" s="1"/>
  <c r="AT27" i="352" a="1"/>
  <c r="AT27" i="352" s="1"/>
  <c r="AT10" i="352" a="1"/>
  <c r="AT10" i="352" s="1"/>
  <c r="AS38" i="352" a="1"/>
  <c r="AS38" i="352" s="1"/>
  <c r="AU41" i="352" a="1"/>
  <c r="AU41" i="352" s="1"/>
  <c r="AL41" i="352" s="1"/>
  <c r="AS46" i="352" a="1"/>
  <c r="AS46" i="352" s="1"/>
  <c r="AU25" i="352" a="1"/>
  <c r="AU25" i="352" s="1"/>
  <c r="AL25" i="352" s="1"/>
  <c r="AT45" i="352" a="1"/>
  <c r="AT45" i="352" s="1"/>
  <c r="AS37" i="352" a="1"/>
  <c r="AS37" i="352" s="1"/>
  <c r="AU13" i="352" a="1"/>
  <c r="AU13" i="352" s="1"/>
  <c r="AL13" i="352" s="1"/>
  <c r="AT36" i="352" a="1"/>
  <c r="AT36" i="352" s="1"/>
  <c r="AT20" i="352" a="1"/>
  <c r="AT20" i="352" s="1"/>
  <c r="AT42" i="352" a="1"/>
  <c r="AT42" i="352" s="1"/>
  <c r="AS42" i="352" a="1"/>
  <c r="AS42" i="352" s="1"/>
  <c r="AS19" i="352" a="1"/>
  <c r="AS19" i="352" s="1"/>
  <c r="AS28" i="352" a="1"/>
  <c r="AS28" i="352" s="1"/>
  <c r="AS11" i="352" a="1"/>
  <c r="AS11" i="352" s="1"/>
  <c r="AS41" i="352" a="1"/>
  <c r="AS41" i="352" s="1"/>
  <c r="AU17" i="352" a="1"/>
  <c r="AU17" i="352" s="1"/>
  <c r="AL17" i="352" s="1"/>
  <c r="AS27" i="352" a="1"/>
  <c r="AS27" i="352" s="1"/>
  <c r="AS32" i="352" a="1"/>
  <c r="AS32" i="352" s="1"/>
  <c r="AU11" i="330" a="1"/>
  <c r="AU11" i="330" s="1"/>
  <c r="AL11" i="330" s="1"/>
  <c r="AS44" i="359" a="1"/>
  <c r="AS44" i="359" s="1"/>
  <c r="AT44" i="359" a="1"/>
  <c r="AT44" i="359" s="1"/>
  <c r="AT21" i="359" a="1"/>
  <c r="AT21" i="359" s="1"/>
  <c r="AT15" i="359" a="1"/>
  <c r="AT15" i="359" s="1"/>
  <c r="AU38" i="359" a="1"/>
  <c r="AU38" i="359" s="1"/>
  <c r="AL38" i="359" s="1"/>
  <c r="AU16" i="359" a="1"/>
  <c r="AU16" i="359" s="1"/>
  <c r="AL16" i="359" s="1"/>
  <c r="AS35" i="359" a="1"/>
  <c r="AS35" i="359" s="1"/>
  <c r="AU25" i="359" a="1"/>
  <c r="AU25" i="359" s="1"/>
  <c r="AL25" i="359" s="1"/>
  <c r="AT41" i="359" a="1"/>
  <c r="AT41" i="359" s="1"/>
  <c r="AS37" i="359" a="1"/>
  <c r="AS37" i="359" s="1"/>
  <c r="AS47" i="359" a="1"/>
  <c r="AS47" i="359" s="1"/>
  <c r="AU15" i="359" a="1"/>
  <c r="AU15" i="359" s="1"/>
  <c r="AL15" i="359" s="1"/>
  <c r="AS11" i="359" a="1"/>
  <c r="AS11" i="359" s="1"/>
  <c r="AT38" i="359" a="1"/>
  <c r="AT38" i="359" s="1"/>
  <c r="AU42" i="359" a="1"/>
  <c r="AU42" i="359" s="1"/>
  <c r="AL42" i="359" s="1"/>
  <c r="AU10" i="359" a="1"/>
  <c r="AU10" i="359" s="1"/>
  <c r="AL10" i="359" s="1"/>
  <c r="AS23" i="359" a="1"/>
  <c r="AS23" i="359" s="1"/>
  <c r="AS16" i="359" a="1"/>
  <c r="AS16" i="359" s="1"/>
  <c r="AU46" i="359" a="1"/>
  <c r="AU46" i="359" s="1"/>
  <c r="AL46" i="359" s="1"/>
  <c r="AS21" i="359" a="1"/>
  <c r="AS21" i="359" s="1"/>
  <c r="AS30" i="359" a="1"/>
  <c r="AS30" i="359" s="1"/>
  <c r="AT33" i="359" a="1"/>
  <c r="AT33" i="359" s="1"/>
  <c r="AT12" i="359" a="1"/>
  <c r="AT12" i="359" s="1"/>
  <c r="AT16" i="359" a="1"/>
  <c r="AT16" i="359" s="1"/>
  <c r="AU47" i="359" a="1"/>
  <c r="AU47" i="359" s="1"/>
  <c r="AL47" i="359" s="1"/>
  <c r="AS46" i="359" a="1"/>
  <c r="AS46" i="359" s="1"/>
  <c r="AT35" i="359" a="1"/>
  <c r="AT35" i="359" s="1"/>
  <c r="AS17" i="359" a="1"/>
  <c r="AS17" i="359" s="1"/>
  <c r="AU13" i="359" a="1"/>
  <c r="AU13" i="359" s="1"/>
  <c r="AL13" i="359" s="1"/>
  <c r="AT24" i="359" a="1"/>
  <c r="AT24" i="359" s="1"/>
  <c r="AU19" i="359" a="1"/>
  <c r="AU19" i="359" s="1"/>
  <c r="AL19" i="359" s="1"/>
  <c r="AT14" i="359" a="1"/>
  <c r="AT14" i="359" s="1"/>
  <c r="AS14" i="359" a="1"/>
  <c r="AS14" i="359" s="1"/>
  <c r="AT26" i="359" a="1"/>
  <c r="AT26" i="359" s="1"/>
  <c r="AU22" i="359" a="1"/>
  <c r="AU22" i="359" s="1"/>
  <c r="AL22" i="359" s="1"/>
  <c r="AT17" i="359" a="1"/>
  <c r="AT17" i="359" s="1"/>
  <c r="AU41" i="359" a="1"/>
  <c r="AU41" i="359" s="1"/>
  <c r="AL41" i="359" s="1"/>
  <c r="AU26" i="359" a="1"/>
  <c r="AU26" i="359" s="1"/>
  <c r="AL26" i="359" s="1"/>
  <c r="AS45" i="359" a="1"/>
  <c r="AS45" i="359" s="1"/>
  <c r="AT39" i="359" a="1"/>
  <c r="AT39" i="359" s="1"/>
  <c r="AU45" i="359" a="1"/>
  <c r="AU45" i="359" s="1"/>
  <c r="AL45" i="359" s="1"/>
  <c r="AU49" i="359" a="1"/>
  <c r="AU49" i="359" s="1"/>
  <c r="AL49" i="359" s="1"/>
  <c r="AT46" i="359" a="1"/>
  <c r="AT46" i="359" s="1"/>
  <c r="AS32" i="359" a="1"/>
  <c r="AS32" i="359" s="1"/>
  <c r="AT22" i="359" a="1"/>
  <c r="AT22" i="359" s="1"/>
  <c r="AS29" i="359" a="1"/>
  <c r="AS29" i="359" s="1"/>
  <c r="AT36" i="359" a="1"/>
  <c r="AT36" i="359" s="1"/>
  <c r="AS13" i="359" a="1"/>
  <c r="AS13" i="359" s="1"/>
  <c r="AT25" i="359" a="1"/>
  <c r="AT25" i="359" s="1"/>
  <c r="AT47" i="359" a="1"/>
  <c r="AT47" i="359" s="1"/>
  <c r="AU44" i="359" a="1"/>
  <c r="AU44" i="359" s="1"/>
  <c r="AL44" i="359" s="1"/>
  <c r="AS28" i="359" a="1"/>
  <c r="AS28" i="359" s="1"/>
  <c r="AU30" i="359" a="1"/>
  <c r="AU30" i="359" s="1"/>
  <c r="AL30" i="359" s="1"/>
  <c r="AU20" i="359" a="1"/>
  <c r="AU20" i="359" s="1"/>
  <c r="AL20" i="359" s="1"/>
  <c r="AT13" i="359" a="1"/>
  <c r="AT13" i="359" s="1"/>
  <c r="AS36" i="359" a="1"/>
  <c r="AS36" i="359" s="1"/>
  <c r="AT49" i="359" a="1"/>
  <c r="AT49" i="359" s="1"/>
  <c r="AU29" i="359" a="1"/>
  <c r="AU29" i="359" s="1"/>
  <c r="AL29" i="359" s="1"/>
  <c r="AS15" i="359" a="1"/>
  <c r="AS15" i="359" s="1"/>
  <c r="AT10" i="359" a="1"/>
  <c r="AT10" i="359" s="1"/>
  <c r="AU37" i="359" a="1"/>
  <c r="AU37" i="359" s="1"/>
  <c r="AL37" i="359" s="1"/>
  <c r="AU39" i="359" a="1"/>
  <c r="AU39" i="359" s="1"/>
  <c r="AL39" i="359" s="1"/>
  <c r="AU18" i="359" a="1"/>
  <c r="AU18" i="359" s="1"/>
  <c r="AL18" i="359" s="1"/>
  <c r="AS10" i="359" a="1"/>
  <c r="AS10" i="359" s="1"/>
  <c r="AS31" i="359" a="1"/>
  <c r="AS31" i="359" s="1"/>
  <c r="AS19" i="359" a="1"/>
  <c r="AS19" i="359" s="1"/>
  <c r="AU12" i="359" a="1"/>
  <c r="AU12" i="359" s="1"/>
  <c r="AL12" i="359" s="1"/>
  <c r="AU11" i="359" a="1"/>
  <c r="AU11" i="359" s="1"/>
  <c r="AL11" i="359" s="1"/>
  <c r="AT32" i="359" a="1"/>
  <c r="AT32" i="359" s="1"/>
  <c r="AS42" i="359" a="1"/>
  <c r="AS42" i="359" s="1"/>
  <c r="AS49" i="359" a="1"/>
  <c r="AS49" i="359" s="1"/>
  <c r="AU21" i="359" a="1"/>
  <c r="AU21" i="359" s="1"/>
  <c r="AL21" i="359" s="1"/>
  <c r="AS25" i="359" a="1"/>
  <c r="AS25" i="359" s="1"/>
  <c r="AU33" i="359" a="1"/>
  <c r="AU33" i="359" s="1"/>
  <c r="AL33" i="359" s="1"/>
  <c r="AT28" i="359" a="1"/>
  <c r="AT28" i="359" s="1"/>
  <c r="AS43" i="359" a="1"/>
  <c r="AS43" i="359" s="1"/>
  <c r="AU14" i="359" a="1"/>
  <c r="AU14" i="359" s="1"/>
  <c r="AL14" i="359" s="1"/>
  <c r="AS26" i="359" a="1"/>
  <c r="AS26" i="359" s="1"/>
  <c r="AT23" i="359" a="1"/>
  <c r="AT23" i="359" s="1"/>
  <c r="AS24" i="359" a="1"/>
  <c r="AS24" i="359" s="1"/>
  <c r="AU17" i="359" a="1"/>
  <c r="AU17" i="359" s="1"/>
  <c r="AL17" i="359" s="1"/>
  <c r="AT30" i="359" a="1"/>
  <c r="AT30" i="359" s="1"/>
  <c r="AT45" i="359" a="1"/>
  <c r="AT45" i="359" s="1"/>
  <c r="AT29" i="359" a="1"/>
  <c r="AT29" i="359" s="1"/>
  <c r="AT31" i="359" a="1"/>
  <c r="AT31" i="359" s="1"/>
  <c r="AU28" i="359" a="1"/>
  <c r="AU28" i="359" s="1"/>
  <c r="AL28" i="359" s="1"/>
  <c r="AS18" i="359" a="1"/>
  <c r="AS18" i="359" s="1"/>
  <c r="AT19" i="359" a="1"/>
  <c r="AT19" i="359" s="1"/>
  <c r="AU40" i="359" a="1"/>
  <c r="AU40" i="359" s="1"/>
  <c r="AL40" i="359" s="1"/>
  <c r="AT48" i="359" a="1"/>
  <c r="AT48" i="359" s="1"/>
  <c r="AU27" i="359" a="1"/>
  <c r="AU27" i="359" s="1"/>
  <c r="AL27" i="359" s="1"/>
  <c r="AS39" i="359" a="1"/>
  <c r="AS39" i="359" s="1"/>
  <c r="AS33" i="359" a="1"/>
  <c r="AS33" i="359" s="1"/>
  <c r="AU43" i="359" a="1"/>
  <c r="AU43" i="359" s="1"/>
  <c r="AL43" i="359" s="1"/>
  <c r="AU32" i="359" a="1"/>
  <c r="AU32" i="359" s="1"/>
  <c r="AL32" i="359" s="1"/>
  <c r="AT40" i="359" a="1"/>
  <c r="AT40" i="359" s="1"/>
  <c r="AT18" i="359" a="1"/>
  <c r="AT18" i="359" s="1"/>
  <c r="AT42" i="359" a="1"/>
  <c r="AT42" i="359" s="1"/>
  <c r="AS38" i="359" a="1"/>
  <c r="AS38" i="359" s="1"/>
  <c r="AT43" i="359" a="1"/>
  <c r="AT43" i="359" s="1"/>
  <c r="AU35" i="359" a="1"/>
  <c r="AU35" i="359" s="1"/>
  <c r="AL35" i="359" s="1"/>
  <c r="AS22" i="359" a="1"/>
  <c r="AS22" i="359" s="1"/>
  <c r="AT11" i="359" a="1"/>
  <c r="AT11" i="359" s="1"/>
  <c r="AS34" i="359" a="1"/>
  <c r="AS34" i="359" s="1"/>
  <c r="AS20" i="359" a="1"/>
  <c r="AS20" i="359" s="1"/>
  <c r="AS12" i="359" a="1"/>
  <c r="AS12" i="359" s="1"/>
  <c r="AU24" i="359" a="1"/>
  <c r="AU24" i="359" s="1"/>
  <c r="AL24" i="359" s="1"/>
  <c r="AU48" i="359" a="1"/>
  <c r="AU48" i="359" s="1"/>
  <c r="AL48" i="359" s="1"/>
  <c r="AU23" i="359" a="1"/>
  <c r="AU23" i="359" s="1"/>
  <c r="AL23" i="359" s="1"/>
  <c r="AT27" i="359" a="1"/>
  <c r="AT27" i="359" s="1"/>
  <c r="AT20" i="359" a="1"/>
  <c r="AT20" i="359" s="1"/>
  <c r="AU34" i="359" a="1"/>
  <c r="AU34" i="359" s="1"/>
  <c r="AL34" i="359" s="1"/>
  <c r="AU36" i="359" a="1"/>
  <c r="AU36" i="359" s="1"/>
  <c r="AL36" i="359" s="1"/>
  <c r="AU31" i="359" a="1"/>
  <c r="AU31" i="359" s="1"/>
  <c r="AL31" i="359" s="1"/>
  <c r="AS40" i="359" a="1"/>
  <c r="AS40" i="359" s="1"/>
  <c r="AT37" i="359" a="1"/>
  <c r="AT37" i="359" s="1"/>
  <c r="AU19" i="362" a="1"/>
  <c r="AU19" i="362" s="1"/>
  <c r="AL19" i="362" s="1"/>
  <c r="AU14" i="330" a="1"/>
  <c r="AU14" i="330" s="1"/>
  <c r="AL14" i="330" s="1"/>
  <c r="AS38" i="330" a="1"/>
  <c r="AS38" i="330" s="1"/>
  <c r="AT46" i="330" a="1"/>
  <c r="AT46" i="330" s="1"/>
  <c r="AU15" i="330" a="1"/>
  <c r="AU15" i="330" s="1"/>
  <c r="AL15" i="330" s="1"/>
  <c r="AT47" i="330" a="1"/>
  <c r="AT47" i="330" s="1"/>
  <c r="AU22" i="330" a="1"/>
  <c r="AU22" i="330" s="1"/>
  <c r="AL22" i="330" s="1"/>
  <c r="AU48" i="330" a="1"/>
  <c r="AU48" i="330" s="1"/>
  <c r="AL48" i="330" s="1"/>
  <c r="AS40" i="330" a="1"/>
  <c r="AS40" i="330" s="1"/>
  <c r="AT14" i="330" a="1"/>
  <c r="AT14" i="330" s="1"/>
  <c r="AU12" i="330" a="1"/>
  <c r="AU12" i="330" s="1"/>
  <c r="AL12" i="330" s="1"/>
  <c r="AU43" i="330" a="1"/>
  <c r="AU43" i="330" s="1"/>
  <c r="AL43" i="330" s="1"/>
  <c r="AT38" i="330" a="1"/>
  <c r="AT38" i="330" s="1"/>
  <c r="AS42" i="330" a="1"/>
  <c r="AS42" i="330" s="1"/>
  <c r="AU41" i="330" a="1"/>
  <c r="AU41" i="330" s="1"/>
  <c r="AL41" i="330" s="1"/>
  <c r="AS27" i="330" a="1"/>
  <c r="AS27" i="330" s="1"/>
  <c r="AT49" i="353" a="1"/>
  <c r="AT49" i="353" s="1"/>
  <c r="AT43" i="353" a="1"/>
  <c r="AT43" i="353" s="1"/>
  <c r="AU32" i="353" a="1"/>
  <c r="AU32" i="353" s="1"/>
  <c r="AL32" i="353" s="1"/>
  <c r="AS45" i="353" a="1"/>
  <c r="AS45" i="353" s="1"/>
  <c r="AS23" i="353" a="1"/>
  <c r="AS23" i="353" s="1"/>
  <c r="AT35" i="353" a="1"/>
  <c r="AT35" i="353" s="1"/>
  <c r="AU17" i="353" a="1"/>
  <c r="AU17" i="353" s="1"/>
  <c r="AL17" i="353" s="1"/>
  <c r="AS20" i="353" a="1"/>
  <c r="AS20" i="353" s="1"/>
  <c r="AS34" i="353" a="1"/>
  <c r="AS34" i="353" s="1"/>
  <c r="AT15" i="353" a="1"/>
  <c r="AT15" i="353" s="1"/>
  <c r="AU11" i="353" a="1"/>
  <c r="AU11" i="353" s="1"/>
  <c r="AL11" i="353" s="1"/>
  <c r="AS27" i="353" a="1"/>
  <c r="AS27" i="353" s="1"/>
  <c r="AT23" i="353" a="1"/>
  <c r="AT23" i="353" s="1"/>
  <c r="AS26" i="353" a="1"/>
  <c r="AS26" i="353" s="1"/>
  <c r="AU41" i="353" a="1"/>
  <c r="AU41" i="353" s="1"/>
  <c r="AL41" i="353" s="1"/>
  <c r="AT41" i="353" a="1"/>
  <c r="AT41" i="353" s="1"/>
  <c r="AS25" i="353" a="1"/>
  <c r="AS25" i="353" s="1"/>
  <c r="AU18" i="353" a="1"/>
  <c r="AU18" i="353" s="1"/>
  <c r="AL18" i="353" s="1"/>
  <c r="AS44" i="353" a="1"/>
  <c r="AS44" i="353" s="1"/>
  <c r="AT21" i="353" a="1"/>
  <c r="AT21" i="353" s="1"/>
  <c r="AT34" i="353" a="1"/>
  <c r="AT34" i="353" s="1"/>
  <c r="AU14" i="353" a="1"/>
  <c r="AU14" i="353" s="1"/>
  <c r="AL14" i="353" s="1"/>
  <c r="AS19" i="353" a="1"/>
  <c r="AS19" i="353" s="1"/>
  <c r="AS33" i="353" a="1"/>
  <c r="AS33" i="353" s="1"/>
  <c r="AT14" i="353" a="1"/>
  <c r="AT14" i="353" s="1"/>
  <c r="AU10" i="353" a="1"/>
  <c r="AU10" i="353" s="1"/>
  <c r="AL10" i="353" s="1"/>
  <c r="AT26" i="353" a="1"/>
  <c r="AT26" i="353" s="1"/>
  <c r="AT48" i="353" a="1"/>
  <c r="AT48" i="353" s="1"/>
  <c r="AU25" i="353" a="1"/>
  <c r="AU25" i="353" s="1"/>
  <c r="AL25" i="353" s="1"/>
  <c r="AU40" i="353" a="1"/>
  <c r="AU40" i="353" s="1"/>
  <c r="AL40" i="353" s="1"/>
  <c r="AS16" i="353" a="1"/>
  <c r="AS16" i="353" s="1"/>
  <c r="AT24" i="353" a="1"/>
  <c r="AT24" i="353" s="1"/>
  <c r="AU38" i="353" a="1"/>
  <c r="AU38" i="353" s="1"/>
  <c r="AL38" i="353" s="1"/>
  <c r="AU49" i="353" a="1"/>
  <c r="AU49" i="353" s="1"/>
  <c r="AL49" i="353" s="1"/>
  <c r="AS40" i="353" a="1"/>
  <c r="AS40" i="353" s="1"/>
  <c r="AT20" i="353" a="1"/>
  <c r="AT20" i="353" s="1"/>
  <c r="AU33" i="353" a="1"/>
  <c r="AU33" i="353" s="1"/>
  <c r="AL33" i="353" s="1"/>
  <c r="AS36" i="353" a="1"/>
  <c r="AS36" i="353" s="1"/>
  <c r="AT17" i="353" a="1"/>
  <c r="AT17" i="353" s="1"/>
  <c r="AT31" i="353" a="1"/>
  <c r="AT31" i="353" s="1"/>
  <c r="AU13" i="353" a="1"/>
  <c r="AU13" i="353" s="1"/>
  <c r="AL13" i="353" s="1"/>
  <c r="AS11" i="353" a="1"/>
  <c r="AS11" i="353" s="1"/>
  <c r="AU23" i="353" a="1"/>
  <c r="AU23" i="353" s="1"/>
  <c r="AL23" i="353" s="1"/>
  <c r="AS47" i="353" a="1"/>
  <c r="AS47" i="353" s="1"/>
  <c r="AU22" i="353" a="1"/>
  <c r="AU22" i="353" s="1"/>
  <c r="AL22" i="353" s="1"/>
  <c r="AT38" i="353" a="1"/>
  <c r="AT38" i="353" s="1"/>
  <c r="AT29" i="353" a="1"/>
  <c r="AT29" i="353" s="1"/>
  <c r="AS29" i="353" a="1"/>
  <c r="AS29" i="353" s="1"/>
  <c r="AS48" i="353" a="1"/>
  <c r="AS48" i="353" s="1"/>
  <c r="AS39" i="353" a="1"/>
  <c r="AS39" i="353" s="1"/>
  <c r="AU19" i="353" a="1"/>
  <c r="AU19" i="353" s="1"/>
  <c r="AL19" i="353" s="1"/>
  <c r="AU30" i="353" a="1"/>
  <c r="AU30" i="353" s="1"/>
  <c r="AL30" i="353" s="1"/>
  <c r="AS35" i="353" a="1"/>
  <c r="AS35" i="353" s="1"/>
  <c r="AT16" i="353" a="1"/>
  <c r="AT16" i="353" s="1"/>
  <c r="AT30" i="353" a="1"/>
  <c r="AT30" i="353" s="1"/>
  <c r="AT40" i="353" a="1"/>
  <c r="AT40" i="353" s="1"/>
  <c r="AT39" i="353" a="1"/>
  <c r="AT39" i="353" s="1"/>
  <c r="AU21" i="353" a="1"/>
  <c r="AU21" i="353" s="1"/>
  <c r="AL21" i="353" s="1"/>
  <c r="AU46" i="353" a="1"/>
  <c r="AU46" i="353" s="1"/>
  <c r="AL46" i="353" s="1"/>
  <c r="AU20" i="353" a="1"/>
  <c r="AU20" i="353" s="1"/>
  <c r="AL20" i="353" s="1"/>
  <c r="AS32" i="353" a="1"/>
  <c r="AS32" i="353" s="1"/>
  <c r="AS30" i="353" a="1"/>
  <c r="AS30" i="353" s="1"/>
  <c r="AT28" i="353" a="1"/>
  <c r="AT28" i="353" s="1"/>
  <c r="AU47" i="353" a="1"/>
  <c r="AU47" i="353" s="1"/>
  <c r="AL47" i="353" s="1"/>
  <c r="AT37" i="353" a="1"/>
  <c r="AT37" i="353" s="1"/>
  <c r="AU16" i="353" a="1"/>
  <c r="AU16" i="353" s="1"/>
  <c r="AL16" i="353" s="1"/>
  <c r="AS22" i="353" a="1"/>
  <c r="AS22" i="353" s="1"/>
  <c r="AT33" i="353" a="1"/>
  <c r="AT33" i="353" s="1"/>
  <c r="AU15" i="353" a="1"/>
  <c r="AU15" i="353" s="1"/>
  <c r="AL15" i="353" s="1"/>
  <c r="AU29" i="353" a="1"/>
  <c r="AU29" i="353" s="1"/>
  <c r="AL29" i="353" s="1"/>
  <c r="AU34" i="353" a="1"/>
  <c r="AU34" i="353" s="1"/>
  <c r="AL34" i="353" s="1"/>
  <c r="AT25" i="353" a="1"/>
  <c r="AT25" i="353" s="1"/>
  <c r="AT11" i="353" a="1"/>
  <c r="AT11" i="353" s="1"/>
  <c r="AS43" i="353" a="1"/>
  <c r="AS43" i="353" s="1"/>
  <c r="AS14" i="353" a="1"/>
  <c r="AS14" i="353" s="1"/>
  <c r="AS24" i="353" a="1"/>
  <c r="AS24" i="353" s="1"/>
  <c r="AU31" i="353" a="1"/>
  <c r="AU31" i="353" s="1"/>
  <c r="AL31" i="353" s="1"/>
  <c r="AT27" i="353" a="1"/>
  <c r="AT27" i="353" s="1"/>
  <c r="AS31" i="353" a="1"/>
  <c r="AS31" i="353" s="1"/>
  <c r="AT12" i="353" a="1"/>
  <c r="AT12" i="353" s="1"/>
  <c r="AU44" i="353" a="1"/>
  <c r="AU44" i="353" s="1"/>
  <c r="AL44" i="353" s="1"/>
  <c r="AS46" i="353" a="1"/>
  <c r="AS46" i="353" s="1"/>
  <c r="AS49" i="353" a="1"/>
  <c r="AS49" i="353" s="1"/>
  <c r="AU27" i="353" a="1"/>
  <c r="AU27" i="353" s="1"/>
  <c r="AL27" i="353" s="1"/>
  <c r="AT46" i="353" a="1"/>
  <c r="AT46" i="353" s="1"/>
  <c r="AU28" i="353" a="1"/>
  <c r="AU28" i="353" s="1"/>
  <c r="AL28" i="353" s="1"/>
  <c r="AS15" i="353" a="1"/>
  <c r="AS15" i="353" s="1"/>
  <c r="AT42" i="353" a="1"/>
  <c r="AT42" i="353" s="1"/>
  <c r="AS42" i="353" a="1"/>
  <c r="AS42" i="353" s="1"/>
  <c r="AS38" i="353" a="1"/>
  <c r="AS38" i="353" s="1"/>
  <c r="AU12" i="353" a="1"/>
  <c r="AU12" i="353" s="1"/>
  <c r="AL12" i="353" s="1"/>
  <c r="AS12" i="353" a="1"/>
  <c r="AS12" i="353" s="1"/>
  <c r="AU39" i="353" a="1"/>
  <c r="AU39" i="353" s="1"/>
  <c r="AL39" i="353" s="1"/>
  <c r="AS41" i="353" a="1"/>
  <c r="AS41" i="353" s="1"/>
  <c r="AU45" i="353" a="1"/>
  <c r="AU45" i="353" s="1"/>
  <c r="AL45" i="353" s="1"/>
  <c r="AS37" i="353" a="1"/>
  <c r="AS37" i="353" s="1"/>
  <c r="AU48" i="353" a="1"/>
  <c r="AU48" i="353" s="1"/>
  <c r="AL48" i="353" s="1"/>
  <c r="AT47" i="353" a="1"/>
  <c r="AT47" i="353" s="1"/>
  <c r="AS21" i="353" a="1"/>
  <c r="AS21" i="353" s="1"/>
  <c r="AU42" i="353" a="1"/>
  <c r="AU42" i="353" s="1"/>
  <c r="AL42" i="353" s="1"/>
  <c r="AT44" i="353" a="1"/>
  <c r="AT44" i="353" s="1"/>
  <c r="AT13" i="353" a="1"/>
  <c r="AT13" i="353" s="1"/>
  <c r="AT22" i="353" a="1"/>
  <c r="AT22" i="353" s="1"/>
  <c r="AU35" i="353" a="1"/>
  <c r="AU35" i="353" s="1"/>
  <c r="AL35" i="353" s="1"/>
  <c r="AU43" i="353" a="1"/>
  <c r="AU43" i="353" s="1"/>
  <c r="AL43" i="353" s="1"/>
  <c r="AU37" i="353" a="1"/>
  <c r="AU37" i="353" s="1"/>
  <c r="AL37" i="353" s="1"/>
  <c r="AT45" i="353" a="1"/>
  <c r="AT45" i="353" s="1"/>
  <c r="AT19" i="353" a="1"/>
  <c r="AT19" i="353" s="1"/>
  <c r="AU26" i="353" a="1"/>
  <c r="AU26" i="353" s="1"/>
  <c r="AL26" i="353" s="1"/>
  <c r="AS28" i="353" a="1"/>
  <c r="AS28" i="353" s="1"/>
  <c r="AT10" i="353" a="1"/>
  <c r="AT10" i="353" s="1"/>
  <c r="AT32" i="353" a="1"/>
  <c r="AT32" i="353" s="1"/>
  <c r="AS10" i="353" a="1"/>
  <c r="AS10" i="353" s="1"/>
  <c r="AT36" i="353" a="1"/>
  <c r="AT36" i="353" s="1"/>
  <c r="AT18" i="353" a="1"/>
  <c r="AT18" i="353" s="1"/>
  <c r="AS18" i="353" a="1"/>
  <c r="AS18" i="353" s="1"/>
  <c r="AS13" i="353" a="1"/>
  <c r="AS13" i="353" s="1"/>
  <c r="AU24" i="353" a="1"/>
  <c r="AU24" i="353" s="1"/>
  <c r="AL24" i="353" s="1"/>
  <c r="AS17" i="353" a="1"/>
  <c r="AS17" i="353" s="1"/>
  <c r="AM17" i="353" s="1"/>
  <c r="AU36" i="353" a="1"/>
  <c r="AU36" i="353" s="1"/>
  <c r="AL36" i="353" s="1"/>
  <c r="AT21" i="355" a="1"/>
  <c r="AT21" i="355" s="1"/>
  <c r="AU37" i="355" a="1"/>
  <c r="AU37" i="355" s="1"/>
  <c r="AL37" i="355" s="1"/>
  <c r="AS13" i="355" a="1"/>
  <c r="AS13" i="355" s="1"/>
  <c r="AU32" i="355" a="1"/>
  <c r="AU32" i="355" s="1"/>
  <c r="AL32" i="355" s="1"/>
  <c r="AU11" i="355" a="1"/>
  <c r="AU11" i="355" s="1"/>
  <c r="AL11" i="355" s="1"/>
  <c r="AT31" i="355" a="1"/>
  <c r="AT31" i="355" s="1"/>
  <c r="AU43" i="355" a="1"/>
  <c r="AU43" i="355" s="1"/>
  <c r="AL43" i="355" s="1"/>
  <c r="AS29" i="355" a="1"/>
  <c r="AS29" i="355" s="1"/>
  <c r="AS14" i="355" a="1"/>
  <c r="AS14" i="355" s="1"/>
  <c r="AS33" i="355" a="1"/>
  <c r="AS33" i="355" s="1"/>
  <c r="AU46" i="355" a="1"/>
  <c r="AU46" i="355" s="1"/>
  <c r="AL46" i="355" s="1"/>
  <c r="AT45" i="355" a="1"/>
  <c r="AT45" i="355" s="1"/>
  <c r="AU12" i="355" a="1"/>
  <c r="AU12" i="355" s="1"/>
  <c r="AL12" i="355" s="1"/>
  <c r="AS21" i="355" a="1"/>
  <c r="AS21" i="355" s="1"/>
  <c r="AT30" i="355" a="1"/>
  <c r="AT30" i="355" s="1"/>
  <c r="AU49" i="355" a="1"/>
  <c r="AU49" i="355" s="1"/>
  <c r="AL49" i="355" s="1"/>
  <c r="AT48" i="355" a="1"/>
  <c r="AT48" i="355" s="1"/>
  <c r="AS16" i="355" a="1"/>
  <c r="AS16" i="355" s="1"/>
  <c r="AS23" i="355" a="1"/>
  <c r="AS23" i="355" s="1"/>
  <c r="AS38" i="355" a="1"/>
  <c r="AS38" i="355" s="1"/>
  <c r="AT34" i="355" a="1"/>
  <c r="AT34" i="355" s="1"/>
  <c r="AU26" i="355" a="1"/>
  <c r="AU26" i="355" s="1"/>
  <c r="AL26" i="355" s="1"/>
  <c r="AS42" i="355" a="1"/>
  <c r="AS42" i="355" s="1"/>
  <c r="AU25" i="355" a="1"/>
  <c r="AU25" i="355" s="1"/>
  <c r="AL25" i="355" s="1"/>
  <c r="AU27" i="355" a="1"/>
  <c r="AU27" i="355" s="1"/>
  <c r="AL27" i="355" s="1"/>
  <c r="AU17" i="355" a="1"/>
  <c r="AU17" i="355" s="1"/>
  <c r="AL17" i="355" s="1"/>
  <c r="AU42" i="355" a="1"/>
  <c r="AU42" i="355" s="1"/>
  <c r="AL42" i="355" s="1"/>
  <c r="AT47" i="355" a="1"/>
  <c r="AT47" i="355" s="1"/>
  <c r="AU44" i="355" a="1"/>
  <c r="AU44" i="355" s="1"/>
  <c r="AL44" i="355" s="1"/>
  <c r="AS39" i="355" a="1"/>
  <c r="AS39" i="355" s="1"/>
  <c r="AU45" i="355" a="1"/>
  <c r="AU45" i="355" s="1"/>
  <c r="AL45" i="355" s="1"/>
  <c r="AT13" i="355" a="1"/>
  <c r="AT13" i="355" s="1"/>
  <c r="AS35" i="355" a="1"/>
  <c r="AS35" i="355" s="1"/>
  <c r="AU33" i="355" a="1"/>
  <c r="AU33" i="355" s="1"/>
  <c r="AL33" i="355" s="1"/>
  <c r="AS24" i="355" a="1"/>
  <c r="AS24" i="355" s="1"/>
  <c r="AU41" i="355" a="1"/>
  <c r="AU41" i="355" s="1"/>
  <c r="AL41" i="355" s="1"/>
  <c r="AT41" i="355" a="1"/>
  <c r="AT41" i="355" s="1"/>
  <c r="AS41" i="355" a="1"/>
  <c r="AS41" i="355" s="1"/>
  <c r="AS25" i="355" a="1"/>
  <c r="AS25" i="355" s="1"/>
  <c r="AT28" i="355" a="1"/>
  <c r="AT28" i="355" s="1"/>
  <c r="AS49" i="355" a="1"/>
  <c r="AS49" i="355" s="1"/>
  <c r="AU34" i="355" a="1"/>
  <c r="AU34" i="355" s="1"/>
  <c r="AL34" i="355" s="1"/>
  <c r="AT17" i="355" a="1"/>
  <c r="AT17" i="355" s="1"/>
  <c r="AT35" i="355" a="1"/>
  <c r="AT35" i="355" s="1"/>
  <c r="AU28" i="355" a="1"/>
  <c r="AU28" i="355" s="1"/>
  <c r="AL28" i="355" s="1"/>
  <c r="AT43" i="355" a="1"/>
  <c r="AT43" i="355" s="1"/>
  <c r="AT14" i="355" a="1"/>
  <c r="AT14" i="355" s="1"/>
  <c r="AS10" i="355" a="1"/>
  <c r="AS10" i="355" s="1"/>
  <c r="AS34" i="355" a="1"/>
  <c r="AS34" i="355" s="1"/>
  <c r="AT24" i="355" a="1"/>
  <c r="AT24" i="355" s="1"/>
  <c r="AU39" i="355" a="1"/>
  <c r="AU39" i="355" s="1"/>
  <c r="AL39" i="355" s="1"/>
  <c r="AS20" i="355" a="1"/>
  <c r="AS20" i="355" s="1"/>
  <c r="AS27" i="355" a="1"/>
  <c r="AS27" i="355" s="1"/>
  <c r="AU47" i="355" a="1"/>
  <c r="AU47" i="355" s="1"/>
  <c r="AL47" i="355" s="1"/>
  <c r="AU10" i="355" a="1"/>
  <c r="AU10" i="355" s="1"/>
  <c r="AL10" i="355" s="1"/>
  <c r="AT23" i="355" a="1"/>
  <c r="AT23" i="355" s="1"/>
  <c r="AT33" i="355" a="1"/>
  <c r="AT33" i="355" s="1"/>
  <c r="AS30" i="355" a="1"/>
  <c r="AS30" i="355" s="1"/>
  <c r="AU48" i="355" a="1"/>
  <c r="AU48" i="355" s="1"/>
  <c r="AL48" i="355" s="1"/>
  <c r="AU15" i="355" a="1"/>
  <c r="AU15" i="355" s="1"/>
  <c r="AL15" i="355" s="1"/>
  <c r="AT11" i="355" a="1"/>
  <c r="AT11" i="355" s="1"/>
  <c r="AS37" i="355" a="1"/>
  <c r="AS37" i="355" s="1"/>
  <c r="AS36" i="355" a="1"/>
  <c r="AS36" i="355" s="1"/>
  <c r="AT26" i="355" a="1"/>
  <c r="AT26" i="355" s="1"/>
  <c r="AT44" i="355" a="1"/>
  <c r="AT44" i="355" s="1"/>
  <c r="AU35" i="355" a="1"/>
  <c r="AU35" i="355" s="1"/>
  <c r="AL35" i="355" s="1"/>
  <c r="AU19" i="355" a="1"/>
  <c r="AU19" i="355" s="1"/>
  <c r="AL19" i="355" s="1"/>
  <c r="AS43" i="355" a="1"/>
  <c r="AS43" i="355" s="1"/>
  <c r="AU38" i="355" a="1"/>
  <c r="AU38" i="355" s="1"/>
  <c r="AL38" i="355" s="1"/>
  <c r="AU36" i="355" a="1"/>
  <c r="AU36" i="355" s="1"/>
  <c r="AL36" i="355" s="1"/>
  <c r="AS44" i="355" a="1"/>
  <c r="AS44" i="355" s="1"/>
  <c r="AS45" i="355" a="1"/>
  <c r="AS45" i="355" s="1"/>
  <c r="AS18" i="355" a="1"/>
  <c r="AS18" i="355" s="1"/>
  <c r="AT37" i="355" a="1"/>
  <c r="AT37" i="355" s="1"/>
  <c r="AT39" i="355" a="1"/>
  <c r="AT39" i="355" s="1"/>
  <c r="AT22" i="355" a="1"/>
  <c r="AT22" i="355" s="1"/>
  <c r="AS48" i="355" a="1"/>
  <c r="AS48" i="355" s="1"/>
  <c r="AT49" i="355" a="1"/>
  <c r="AT49" i="355" s="1"/>
  <c r="AU29" i="355" a="1"/>
  <c r="AU29" i="355" s="1"/>
  <c r="AL29" i="355" s="1"/>
  <c r="AS32" i="355" a="1"/>
  <c r="AS32" i="355" s="1"/>
  <c r="AU31" i="355" a="1"/>
  <c r="AU31" i="355" s="1"/>
  <c r="AL31" i="355" s="1"/>
  <c r="AU20" i="355" a="1"/>
  <c r="AU20" i="355" s="1"/>
  <c r="AL20" i="355" s="1"/>
  <c r="AS17" i="355" a="1"/>
  <c r="AS17" i="355" s="1"/>
  <c r="AS40" i="355" a="1"/>
  <c r="AS40" i="355" s="1"/>
  <c r="AU18" i="355" a="1"/>
  <c r="AU18" i="355" s="1"/>
  <c r="AL18" i="355" s="1"/>
  <c r="AU23" i="355" a="1"/>
  <c r="AU23" i="355" s="1"/>
  <c r="AL23" i="355" s="1"/>
  <c r="AT12" i="355" a="1"/>
  <c r="AT12" i="355" s="1"/>
  <c r="AT46" i="355" a="1"/>
  <c r="AT46" i="355" s="1"/>
  <c r="AT16" i="355" a="1"/>
  <c r="AT16" i="355" s="1"/>
  <c r="AS11" i="355" a="1"/>
  <c r="AS11" i="355" s="1"/>
  <c r="AS12" i="355" a="1"/>
  <c r="AS12" i="355" s="1"/>
  <c r="AS47" i="355" a="1"/>
  <c r="AS47" i="355" s="1"/>
  <c r="AM47" i="355" s="1"/>
  <c r="AU24" i="355" a="1"/>
  <c r="AU24" i="355" s="1"/>
  <c r="AL24" i="355" s="1"/>
  <c r="AU21" i="355" a="1"/>
  <c r="AU21" i="355" s="1"/>
  <c r="AL21" i="355" s="1"/>
  <c r="AT29" i="355" a="1"/>
  <c r="AT29" i="355" s="1"/>
  <c r="AS28" i="355" a="1"/>
  <c r="AS28" i="355" s="1"/>
  <c r="AS19" i="355" a="1"/>
  <c r="AS19" i="355" s="1"/>
  <c r="AT27" i="355" a="1"/>
  <c r="AT27" i="355" s="1"/>
  <c r="AS46" i="355" a="1"/>
  <c r="AS46" i="355" s="1"/>
  <c r="AS26" i="355" a="1"/>
  <c r="AS26" i="355" s="1"/>
  <c r="AU16" i="355" a="1"/>
  <c r="AU16" i="355" s="1"/>
  <c r="AL16" i="355" s="1"/>
  <c r="AU30" i="355" a="1"/>
  <c r="AU30" i="355" s="1"/>
  <c r="AL30" i="355" s="1"/>
  <c r="AU14" i="355" a="1"/>
  <c r="AU14" i="355" s="1"/>
  <c r="AL14" i="355" s="1"/>
  <c r="AS22" i="355" a="1"/>
  <c r="AS22" i="355" s="1"/>
  <c r="AS15" i="355" a="1"/>
  <c r="AS15" i="355" s="1"/>
  <c r="AT42" i="355" a="1"/>
  <c r="AT42" i="355" s="1"/>
  <c r="AT15" i="355" a="1"/>
  <c r="AT15" i="355" s="1"/>
  <c r="AU13" i="355" a="1"/>
  <c r="AU13" i="355" s="1"/>
  <c r="AL13" i="355" s="1"/>
  <c r="AU22" i="355" a="1"/>
  <c r="AU22" i="355" s="1"/>
  <c r="AL22" i="355" s="1"/>
  <c r="AT36" i="355" a="1"/>
  <c r="AT36" i="355" s="1"/>
  <c r="AU40" i="355" a="1"/>
  <c r="AU40" i="355" s="1"/>
  <c r="AL40" i="355" s="1"/>
  <c r="AT25" i="355" a="1"/>
  <c r="AT25" i="355" s="1"/>
  <c r="AT18" i="355" a="1"/>
  <c r="AT18" i="355" s="1"/>
  <c r="AT19" i="355" a="1"/>
  <c r="AT19" i="355" s="1"/>
  <c r="AS31" i="355" a="1"/>
  <c r="AS31" i="355" s="1"/>
  <c r="AT38" i="355" a="1"/>
  <c r="AT38" i="355" s="1"/>
  <c r="AT48" i="330" a="1"/>
  <c r="AT48" i="330" s="1"/>
  <c r="AT18" i="330" a="1"/>
  <c r="AT18" i="330" s="1"/>
  <c r="AT12" i="330" a="1"/>
  <c r="AT12" i="330" s="1"/>
  <c r="AT10" i="330" a="1"/>
  <c r="AT10" i="330" s="1"/>
  <c r="AS12" i="330" a="1"/>
  <c r="AS12" i="330" s="1"/>
  <c r="AS14" i="330" a="1"/>
  <c r="AS14" i="330" s="1"/>
  <c r="AM14" i="330" s="1"/>
  <c r="AT35" i="330" a="1"/>
  <c r="AT35" i="330" s="1"/>
  <c r="AS33" i="330" a="1"/>
  <c r="AS33" i="330" s="1"/>
  <c r="AT41" i="330" a="1"/>
  <c r="AT41" i="330" s="1"/>
  <c r="AS25" i="330" a="1"/>
  <c r="AS25" i="330" s="1"/>
  <c r="AT33" i="330" a="1"/>
  <c r="AT33" i="330" s="1"/>
  <c r="AS43" i="330" a="1"/>
  <c r="AS43" i="330" s="1"/>
  <c r="AU16" i="330" a="1"/>
  <c r="AU16" i="330" s="1"/>
  <c r="AL16" i="330" s="1"/>
  <c r="AS16" i="330" a="1"/>
  <c r="AS16" i="330" s="1"/>
  <c r="AT27" i="330" a="1"/>
  <c r="AT27" i="330" s="1"/>
  <c r="AT40" i="355" a="1"/>
  <c r="AT40" i="355" s="1"/>
  <c r="AT32" i="355" a="1"/>
  <c r="AT32" i="355" s="1"/>
  <c r="AS41" i="359" a="1"/>
  <c r="AS41" i="359" s="1"/>
  <c r="AU11" i="361" a="1"/>
  <c r="AU11" i="361" s="1"/>
  <c r="AL11" i="361" s="1"/>
  <c r="AT37" i="361" a="1"/>
  <c r="AT37" i="361" s="1"/>
  <c r="AS41" i="361" a="1"/>
  <c r="AS41" i="361" s="1"/>
  <c r="AU38" i="361" a="1"/>
  <c r="AU38" i="361" s="1"/>
  <c r="AL38" i="361" s="1"/>
  <c r="AU42" i="361" a="1"/>
  <c r="AU42" i="361" s="1"/>
  <c r="AL42" i="361" s="1"/>
  <c r="AU21" i="361" a="1"/>
  <c r="AU21" i="361" s="1"/>
  <c r="AL21" i="361" s="1"/>
  <c r="AT45" i="361" a="1"/>
  <c r="AT45" i="361" s="1"/>
  <c r="AU47" i="361" a="1"/>
  <c r="AU47" i="361" s="1"/>
  <c r="AL47" i="361" s="1"/>
  <c r="AT36" i="361" a="1"/>
  <c r="AT36" i="361" s="1"/>
  <c r="AT27" i="361" a="1"/>
  <c r="AT27" i="361" s="1"/>
  <c r="AS40" i="361" a="1"/>
  <c r="AS40" i="361" s="1"/>
  <c r="AT17" i="361" a="1"/>
  <c r="AT17" i="361" s="1"/>
  <c r="AU18" i="361" a="1"/>
  <c r="AU18" i="361" s="1"/>
  <c r="AL18" i="361" s="1"/>
  <c r="AU44" i="361" a="1"/>
  <c r="AU44" i="361" s="1"/>
  <c r="AL44" i="361" s="1"/>
  <c r="AS45" i="361" a="1"/>
  <c r="AS45" i="361" s="1"/>
  <c r="AS47" i="361" a="1"/>
  <c r="AS47" i="361" s="1"/>
  <c r="AT24" i="361" a="1"/>
  <c r="AT24" i="361" s="1"/>
  <c r="AS34" i="361" a="1"/>
  <c r="AS34" i="361" s="1"/>
  <c r="AT14" i="361" a="1"/>
  <c r="AT14" i="361" s="1"/>
  <c r="AU26" i="361" a="1"/>
  <c r="AU26" i="361" s="1"/>
  <c r="AL26" i="361" s="1"/>
  <c r="AS32" i="361" a="1"/>
  <c r="AS32" i="361" s="1"/>
  <c r="AT22" i="361" a="1"/>
  <c r="AT22" i="361" s="1"/>
  <c r="AT19" i="361" a="1"/>
  <c r="AT19" i="361" s="1"/>
  <c r="AU40" i="361" a="1"/>
  <c r="AU40" i="361" s="1"/>
  <c r="AL40" i="361" s="1"/>
  <c r="AS37" i="361" a="1"/>
  <c r="AS37" i="361" s="1"/>
  <c r="AU14" i="361" a="1"/>
  <c r="AU14" i="361" s="1"/>
  <c r="AL14" i="361" s="1"/>
  <c r="AU20" i="361" a="1"/>
  <c r="AU20" i="361" s="1"/>
  <c r="AL20" i="361" s="1"/>
  <c r="AS27" i="361" a="1"/>
  <c r="AS27" i="361" s="1"/>
  <c r="AU31" i="361" a="1"/>
  <c r="AU31" i="361" s="1"/>
  <c r="AL31" i="361" s="1"/>
  <c r="AU37" i="361" a="1"/>
  <c r="AU37" i="361" s="1"/>
  <c r="AL37" i="361" s="1"/>
  <c r="AT10" i="361" a="1"/>
  <c r="AT10" i="361" s="1"/>
  <c r="AS22" i="361" a="1"/>
  <c r="AS22" i="361" s="1"/>
  <c r="AT34" i="361" a="1"/>
  <c r="AT34" i="361" s="1"/>
  <c r="AU15" i="361" a="1"/>
  <c r="AU15" i="361" s="1"/>
  <c r="AL15" i="361" s="1"/>
  <c r="AS10" i="361" a="1"/>
  <c r="AS10" i="361" s="1"/>
  <c r="AU36" i="361" a="1"/>
  <c r="AU36" i="361" s="1"/>
  <c r="AL36" i="361" s="1"/>
  <c r="AU46" i="361" a="1"/>
  <c r="AU46" i="361" s="1"/>
  <c r="AL46" i="361" s="1"/>
  <c r="AS12" i="361" a="1"/>
  <c r="AS12" i="361" s="1"/>
  <c r="AS18" i="361" a="1"/>
  <c r="AS18" i="361" s="1"/>
  <c r="AS24" i="361" a="1"/>
  <c r="AS24" i="361" s="1"/>
  <c r="AU24" i="361" a="1"/>
  <c r="AU24" i="361" s="1"/>
  <c r="AL24" i="361" s="1"/>
  <c r="AU34" i="361" a="1"/>
  <c r="AU34" i="361" s="1"/>
  <c r="AL34" i="361" s="1"/>
  <c r="AT29" i="361" a="1"/>
  <c r="AT29" i="361" s="1"/>
  <c r="AU17" i="361" a="1"/>
  <c r="AU17" i="361" s="1"/>
  <c r="AL17" i="361" s="1"/>
  <c r="AT32" i="361" a="1"/>
  <c r="AT32" i="361" s="1"/>
  <c r="AT15" i="361" a="1"/>
  <c r="AT15" i="361" s="1"/>
  <c r="AS42" i="361" a="1"/>
  <c r="AS42" i="361" s="1"/>
  <c r="AS49" i="361" a="1"/>
  <c r="AS49" i="361" s="1"/>
  <c r="AS39" i="361" a="1"/>
  <c r="AS39" i="361" s="1"/>
  <c r="AT11" i="361" a="1"/>
  <c r="AT11" i="361" s="1"/>
  <c r="AU13" i="361" a="1"/>
  <c r="AU13" i="361" s="1"/>
  <c r="AL13" i="361" s="1"/>
  <c r="AT23" i="361" a="1"/>
  <c r="AT23" i="361" s="1"/>
  <c r="AU22" i="361" a="1"/>
  <c r="AU22" i="361" s="1"/>
  <c r="AL22" i="361" s="1"/>
  <c r="AS33" i="361" a="1"/>
  <c r="AS33" i="361" s="1"/>
  <c r="AT26" i="361" a="1"/>
  <c r="AT26" i="361" s="1"/>
  <c r="AT16" i="361" a="1"/>
  <c r="AT16" i="361" s="1"/>
  <c r="AS29" i="361" a="1"/>
  <c r="AS29" i="361" s="1"/>
  <c r="AT47" i="361" a="1"/>
  <c r="AT47" i="361" s="1"/>
  <c r="AT42" i="361" a="1"/>
  <c r="AT42" i="361" s="1"/>
  <c r="AU27" i="361" a="1"/>
  <c r="AU27" i="361" s="1"/>
  <c r="AL27" i="361" s="1"/>
  <c r="AT48" i="361" a="1"/>
  <c r="AT48" i="361" s="1"/>
  <c r="AS31" i="361" a="1"/>
  <c r="AS31" i="361" s="1"/>
  <c r="AS48" i="361" a="1"/>
  <c r="AS48" i="361" s="1"/>
  <c r="AU49" i="361" a="1"/>
  <c r="AU49" i="361" s="1"/>
  <c r="AL49" i="361" s="1"/>
  <c r="AT20" i="361" a="1"/>
  <c r="AT20" i="361" s="1"/>
  <c r="AT18" i="361" a="1"/>
  <c r="AT18" i="361" s="1"/>
  <c r="AT31" i="361" a="1"/>
  <c r="AT31" i="361" s="1"/>
  <c r="AS38" i="361" a="1"/>
  <c r="AS38" i="361" s="1"/>
  <c r="AS14" i="361" a="1"/>
  <c r="AS14" i="361" s="1"/>
  <c r="AS26" i="361" a="1"/>
  <c r="AS26" i="361" s="1"/>
  <c r="AS35" i="361" a="1"/>
  <c r="AS35" i="361" s="1"/>
  <c r="AU41" i="361" a="1"/>
  <c r="AU41" i="361" s="1"/>
  <c r="AL41" i="361" s="1"/>
  <c r="AT44" i="361" a="1"/>
  <c r="AT44" i="361" s="1"/>
  <c r="AU30" i="361" a="1"/>
  <c r="AU30" i="361" s="1"/>
  <c r="AL30" i="361" s="1"/>
  <c r="AT33" i="361" a="1"/>
  <c r="AT33" i="361" s="1"/>
  <c r="AT46" i="361" a="1"/>
  <c r="AT46" i="361" s="1"/>
  <c r="AU19" i="361" a="1"/>
  <c r="AU19" i="361" s="1"/>
  <c r="AL19" i="361" s="1"/>
  <c r="AU33" i="361" a="1"/>
  <c r="AU33" i="361" s="1"/>
  <c r="AL33" i="361" s="1"/>
  <c r="AS30" i="361" a="1"/>
  <c r="AS30" i="361" s="1"/>
  <c r="AT35" i="361" a="1"/>
  <c r="AT35" i="361" s="1"/>
  <c r="AS28" i="361" a="1"/>
  <c r="AS28" i="361" s="1"/>
  <c r="AU35" i="361" a="1"/>
  <c r="AU35" i="361" s="1"/>
  <c r="AL35" i="361" s="1"/>
  <c r="AU16" i="361" a="1"/>
  <c r="AU16" i="361" s="1"/>
  <c r="AL16" i="361" s="1"/>
  <c r="AS36" i="361" a="1"/>
  <c r="AS36" i="361" s="1"/>
  <c r="AT21" i="361" a="1"/>
  <c r="AT21" i="361" s="1"/>
  <c r="AU23" i="361" a="1"/>
  <c r="AU23" i="361" s="1"/>
  <c r="AL23" i="361" s="1"/>
  <c r="AS11" i="361" a="1"/>
  <c r="AS11" i="361" s="1"/>
  <c r="AT13" i="361" a="1"/>
  <c r="AT13" i="361" s="1"/>
  <c r="AS25" i="361" a="1"/>
  <c r="AS25" i="361" s="1"/>
  <c r="AT49" i="361" a="1"/>
  <c r="AT49" i="361" s="1"/>
  <c r="AS15" i="361" a="1"/>
  <c r="AS15" i="361" s="1"/>
  <c r="AU10" i="361" a="1"/>
  <c r="AU10" i="361" s="1"/>
  <c r="AL10" i="361" s="1"/>
  <c r="AU32" i="361" a="1"/>
  <c r="AU32" i="361" s="1"/>
  <c r="AL32" i="361" s="1"/>
  <c r="AS20" i="361" a="1"/>
  <c r="AS20" i="361" s="1"/>
  <c r="AU12" i="361" a="1"/>
  <c r="AU12" i="361" s="1"/>
  <c r="AL12" i="361" s="1"/>
  <c r="AU48" i="361" a="1"/>
  <c r="AU48" i="361" s="1"/>
  <c r="AL48" i="361" s="1"/>
  <c r="AT30" i="361" a="1"/>
  <c r="AT30" i="361" s="1"/>
  <c r="AU45" i="361" a="1"/>
  <c r="AU45" i="361" s="1"/>
  <c r="AL45" i="361" s="1"/>
  <c r="AU25" i="361" a="1"/>
  <c r="AU25" i="361" s="1"/>
  <c r="AL25" i="361" s="1"/>
  <c r="AS19" i="361" a="1"/>
  <c r="AS19" i="361" s="1"/>
  <c r="AT41" i="361" a="1"/>
  <c r="AT41" i="361" s="1"/>
  <c r="AU29" i="361" a="1"/>
  <c r="AU29" i="361" s="1"/>
  <c r="AL29" i="361" s="1"/>
  <c r="AU28" i="361" a="1"/>
  <c r="AU28" i="361" s="1"/>
  <c r="AL28" i="361" s="1"/>
  <c r="AS23" i="361" a="1"/>
  <c r="AS23" i="361" s="1"/>
  <c r="AS17" i="361" a="1"/>
  <c r="AS17" i="361" s="1"/>
  <c r="AU43" i="361" a="1"/>
  <c r="AU43" i="361" s="1"/>
  <c r="AL43" i="361" s="1"/>
  <c r="AT28" i="361" a="1"/>
  <c r="AT28" i="361" s="1"/>
  <c r="AT40" i="361" a="1"/>
  <c r="AT40" i="361" s="1"/>
  <c r="AS13" i="361" a="1"/>
  <c r="AS13" i="361" s="1"/>
  <c r="AU39" i="361" a="1"/>
  <c r="AU39" i="361" s="1"/>
  <c r="AL39" i="361" s="1"/>
  <c r="AS46" i="361" a="1"/>
  <c r="AS46" i="361" s="1"/>
  <c r="AS21" i="361" a="1"/>
  <c r="AS21" i="361" s="1"/>
  <c r="AT39" i="361" a="1"/>
  <c r="AT39" i="361" s="1"/>
  <c r="AT43" i="361" a="1"/>
  <c r="AT43" i="361" s="1"/>
  <c r="AS16" i="361" a="1"/>
  <c r="AS16" i="361" s="1"/>
  <c r="AT38" i="361" a="1"/>
  <c r="AT38" i="361" s="1"/>
  <c r="AT12" i="361" a="1"/>
  <c r="AT12" i="361" s="1"/>
  <c r="AS44" i="361" a="1"/>
  <c r="AS44" i="361" s="1"/>
  <c r="AT25" i="361" a="1"/>
  <c r="AT25" i="361" s="1"/>
  <c r="AS43" i="361" a="1"/>
  <c r="AS43" i="361" s="1"/>
  <c r="AS17" i="352" a="1"/>
  <c r="AS17" i="352" s="1"/>
  <c r="AT47" i="354" a="1"/>
  <c r="AT47" i="354" s="1"/>
  <c r="AU39" i="330" a="1"/>
  <c r="AU39" i="330" s="1"/>
  <c r="AL39" i="330" s="1"/>
  <c r="AS26" i="330" a="1"/>
  <c r="AS26" i="330" s="1"/>
  <c r="AU26" i="330" a="1"/>
  <c r="AU26" i="330" s="1"/>
  <c r="AL26" i="330" s="1"/>
  <c r="AU34" i="330" a="1"/>
  <c r="AU34" i="330" s="1"/>
  <c r="AL34" i="330" s="1"/>
  <c r="AT34" i="330" a="1"/>
  <c r="AT34" i="330" s="1"/>
  <c r="AT44" i="330" a="1"/>
  <c r="AT44" i="330" s="1"/>
  <c r="AS30" i="330" a="1"/>
  <c r="AS30" i="330" s="1"/>
  <c r="AS15" i="330" a="1"/>
  <c r="AS15" i="330" s="1"/>
  <c r="AT30" i="330" a="1"/>
  <c r="AT30" i="330" s="1"/>
  <c r="AU47" i="330" a="1"/>
  <c r="AU47" i="330" s="1"/>
  <c r="AL47" i="330" s="1"/>
  <c r="AS19" i="330" a="1"/>
  <c r="AS19" i="330" s="1"/>
  <c r="AU17" i="330" a="1"/>
  <c r="AU17" i="330" s="1"/>
  <c r="AL17" i="330" s="1"/>
  <c r="AT23" i="330" a="1"/>
  <c r="AT23" i="330" s="1"/>
  <c r="AS22" i="330" a="1"/>
  <c r="AS22" i="330" s="1"/>
  <c r="AU19" i="330" a="1"/>
  <c r="AU19" i="330" s="1"/>
  <c r="AL19" i="330" s="1"/>
  <c r="AS48" i="359" a="1"/>
  <c r="AS48" i="359" s="1"/>
  <c r="AS31" i="360" a="1"/>
  <c r="AS31" i="360" s="1"/>
  <c r="AS17" i="360" a="1"/>
  <c r="AS17" i="360" s="1"/>
  <c r="AU45" i="360" a="1"/>
  <c r="AU45" i="360" s="1"/>
  <c r="AL45" i="360" s="1"/>
  <c r="AU29" i="360" a="1"/>
  <c r="AU29" i="360" s="1"/>
  <c r="AL29" i="360" s="1"/>
  <c r="AT12" i="360" a="1"/>
  <c r="AT12" i="360" s="1"/>
  <c r="AU40" i="360" a="1"/>
  <c r="AU40" i="360" s="1"/>
  <c r="AL40" i="360" s="1"/>
  <c r="AT45" i="360" a="1"/>
  <c r="AT45" i="360" s="1"/>
  <c r="AS14" i="360" a="1"/>
  <c r="AS14" i="360" s="1"/>
  <c r="AT44" i="360" a="1"/>
  <c r="AT44" i="360" s="1"/>
  <c r="AT28" i="360" a="1"/>
  <c r="AT28" i="360" s="1"/>
  <c r="AU11" i="360" a="1"/>
  <c r="AU11" i="360" s="1"/>
  <c r="AL11" i="360" s="1"/>
  <c r="AU44" i="360" a="1"/>
  <c r="AU44" i="360" s="1"/>
  <c r="AL44" i="360" s="1"/>
  <c r="AT25" i="360" a="1"/>
  <c r="AT25" i="360" s="1"/>
  <c r="AS26" i="360" a="1"/>
  <c r="AS26" i="360" s="1"/>
  <c r="AS16" i="360" a="1"/>
  <c r="AS16" i="360" s="1"/>
  <c r="AS27" i="360" a="1"/>
  <c r="AS27" i="360" s="1"/>
  <c r="AU16" i="360" a="1"/>
  <c r="AU16" i="360" s="1"/>
  <c r="AL16" i="360" s="1"/>
  <c r="AT42" i="360" a="1"/>
  <c r="AT42" i="360" s="1"/>
  <c r="AT26" i="360" a="1"/>
  <c r="AT26" i="360" s="1"/>
  <c r="AS22" i="360" a="1"/>
  <c r="AS22" i="360" s="1"/>
  <c r="AT39" i="360" a="1"/>
  <c r="AT39" i="360" s="1"/>
  <c r="AU42" i="360" a="1"/>
  <c r="AU42" i="360" s="1"/>
  <c r="AL42" i="360" s="1"/>
  <c r="AS48" i="360" a="1"/>
  <c r="AS48" i="360" s="1"/>
  <c r="AU43" i="360" a="1"/>
  <c r="AU43" i="360" s="1"/>
  <c r="AL43" i="360" s="1"/>
  <c r="AU27" i="360" a="1"/>
  <c r="AU27" i="360" s="1"/>
  <c r="AL27" i="360" s="1"/>
  <c r="AS49" i="360" a="1"/>
  <c r="AS49" i="360" s="1"/>
  <c r="AT43" i="360" a="1"/>
  <c r="AT43" i="360" s="1"/>
  <c r="AS46" i="360" a="1"/>
  <c r="AS46" i="360" s="1"/>
  <c r="AU38" i="360" a="1"/>
  <c r="AU38" i="360" s="1"/>
  <c r="AL38" i="360" s="1"/>
  <c r="AT35" i="360" a="1"/>
  <c r="AT35" i="360" s="1"/>
  <c r="AS23" i="360" a="1"/>
  <c r="AS23" i="360" s="1"/>
  <c r="AS15" i="360" a="1"/>
  <c r="AS15" i="360" s="1"/>
  <c r="AU41" i="360" a="1"/>
  <c r="AU41" i="360" s="1"/>
  <c r="AL41" i="360" s="1"/>
  <c r="AU25" i="360" a="1"/>
  <c r="AU25" i="360" s="1"/>
  <c r="AL25" i="360" s="1"/>
  <c r="AT19" i="360" a="1"/>
  <c r="AT19" i="360" s="1"/>
  <c r="AS36" i="360" a="1"/>
  <c r="AS36" i="360" s="1"/>
  <c r="AT37" i="360" a="1"/>
  <c r="AT37" i="360" s="1"/>
  <c r="AS41" i="360" a="1"/>
  <c r="AS41" i="360" s="1"/>
  <c r="AS40" i="360" a="1"/>
  <c r="AS40" i="360" s="1"/>
  <c r="AS24" i="360" a="1"/>
  <c r="AS24" i="360" s="1"/>
  <c r="AU48" i="360" a="1"/>
  <c r="AU48" i="360" s="1"/>
  <c r="AL48" i="360" s="1"/>
  <c r="AS42" i="360" a="1"/>
  <c r="AS42" i="360" s="1"/>
  <c r="AT49" i="360" a="1"/>
  <c r="AT49" i="360" s="1"/>
  <c r="AS34" i="360" a="1"/>
  <c r="AS34" i="360" s="1"/>
  <c r="AU36" i="360" a="1"/>
  <c r="AU36" i="360" s="1"/>
  <c r="AL36" i="360" s="1"/>
  <c r="AS47" i="360" a="1"/>
  <c r="AS47" i="360" s="1"/>
  <c r="AS21" i="360" a="1"/>
  <c r="AS21" i="360" s="1"/>
  <c r="AS13" i="360" a="1"/>
  <c r="AS13" i="360" s="1"/>
  <c r="AU37" i="360" a="1"/>
  <c r="AU37" i="360" s="1"/>
  <c r="AL37" i="360" s="1"/>
  <c r="AT20" i="360" a="1"/>
  <c r="AT20" i="360" s="1"/>
  <c r="AS11" i="360" a="1"/>
  <c r="AS11" i="360" s="1"/>
  <c r="AT31" i="360" a="1"/>
  <c r="AT31" i="360" s="1"/>
  <c r="AT29" i="360" a="1"/>
  <c r="AT29" i="360" s="1"/>
  <c r="AS25" i="360" a="1"/>
  <c r="AS25" i="360" s="1"/>
  <c r="AT36" i="360" a="1"/>
  <c r="AT36" i="360" s="1"/>
  <c r="AT13" i="360" a="1"/>
  <c r="AT13" i="360" s="1"/>
  <c r="AS30" i="360" a="1"/>
  <c r="AS30" i="360" s="1"/>
  <c r="AT21" i="360" a="1"/>
  <c r="AT21" i="360" s="1"/>
  <c r="AU15" i="360" a="1"/>
  <c r="AU15" i="360" s="1"/>
  <c r="AL15" i="360" s="1"/>
  <c r="AT11" i="360" a="1"/>
  <c r="AT11" i="360" s="1"/>
  <c r="AS43" i="360" a="1"/>
  <c r="AS43" i="360" s="1"/>
  <c r="AU20" i="360" a="1"/>
  <c r="AU20" i="360" s="1"/>
  <c r="AL20" i="360" s="1"/>
  <c r="AU12" i="360" a="1"/>
  <c r="AU12" i="360" s="1"/>
  <c r="AL12" i="360" s="1"/>
  <c r="AT34" i="360" a="1"/>
  <c r="AT34" i="360" s="1"/>
  <c r="AT18" i="360" a="1"/>
  <c r="AT18" i="360" s="1"/>
  <c r="AU10" i="360" a="1"/>
  <c r="AU10" i="360" s="1"/>
  <c r="AL10" i="360" s="1"/>
  <c r="AS28" i="360" a="1"/>
  <c r="AS28" i="360" s="1"/>
  <c r="AU26" i="360" a="1"/>
  <c r="AU26" i="360" s="1"/>
  <c r="AL26" i="360" s="1"/>
  <c r="AS20" i="360" a="1"/>
  <c r="AS20" i="360" s="1"/>
  <c r="AU35" i="360" a="1"/>
  <c r="AU35" i="360" s="1"/>
  <c r="AL35" i="360" s="1"/>
  <c r="AU47" i="360" a="1"/>
  <c r="AU47" i="360" s="1"/>
  <c r="AL47" i="360" s="1"/>
  <c r="AU13" i="360" a="1"/>
  <c r="AU13" i="360" s="1"/>
  <c r="AL13" i="360" s="1"/>
  <c r="AS37" i="360" a="1"/>
  <c r="AS37" i="360" s="1"/>
  <c r="AT10" i="360" a="1"/>
  <c r="AT10" i="360" s="1"/>
  <c r="AS38" i="360" a="1"/>
  <c r="AS38" i="360" s="1"/>
  <c r="AU49" i="360" a="1"/>
  <c r="AU49" i="360" s="1"/>
  <c r="AL49" i="360" s="1"/>
  <c r="AS18" i="360" a="1"/>
  <c r="AS18" i="360" s="1"/>
  <c r="AU17" i="360" a="1"/>
  <c r="AU17" i="360" s="1"/>
  <c r="AL17" i="360" s="1"/>
  <c r="AU19" i="360" a="1"/>
  <c r="AU19" i="360" s="1"/>
  <c r="AL19" i="360" s="1"/>
  <c r="AT27" i="360" a="1"/>
  <c r="AT27" i="360" s="1"/>
  <c r="AT46" i="360" a="1"/>
  <c r="AT46" i="360" s="1"/>
  <c r="AT48" i="360" a="1"/>
  <c r="AT48" i="360" s="1"/>
  <c r="AS33" i="360" a="1"/>
  <c r="AS33" i="360" s="1"/>
  <c r="AT17" i="360" a="1"/>
  <c r="AT17" i="360" s="1"/>
  <c r="AU30" i="360" a="1"/>
  <c r="AU30" i="360" s="1"/>
  <c r="AL30" i="360" s="1"/>
  <c r="AS39" i="360" a="1"/>
  <c r="AS39" i="360" s="1"/>
  <c r="AT38" i="360" a="1"/>
  <c r="AT38" i="360" s="1"/>
  <c r="AS44" i="360" a="1"/>
  <c r="AS44" i="360" s="1"/>
  <c r="AT15" i="360" a="1"/>
  <c r="AT15" i="360" s="1"/>
  <c r="AT47" i="360" a="1"/>
  <c r="AT47" i="360" s="1"/>
  <c r="AT32" i="360" a="1"/>
  <c r="AT32" i="360" s="1"/>
  <c r="AS35" i="360" a="1"/>
  <c r="AS35" i="360" s="1"/>
  <c r="AU33" i="360" a="1"/>
  <c r="AU33" i="360" s="1"/>
  <c r="AL33" i="360" s="1"/>
  <c r="AU32" i="360" a="1"/>
  <c r="AU32" i="360" s="1"/>
  <c r="AL32" i="360" s="1"/>
  <c r="AS12" i="360" a="1"/>
  <c r="AS12" i="360" s="1"/>
  <c r="AS10" i="360" a="1"/>
  <c r="AS10" i="360" s="1"/>
  <c r="AT41" i="360" a="1"/>
  <c r="AT41" i="360" s="1"/>
  <c r="AU22" i="360" a="1"/>
  <c r="AU22" i="360" s="1"/>
  <c r="AL22" i="360" s="1"/>
  <c r="AT30" i="360" a="1"/>
  <c r="AT30" i="360" s="1"/>
  <c r="AU24" i="360" a="1"/>
  <c r="AU24" i="360" s="1"/>
  <c r="AL24" i="360" s="1"/>
  <c r="AU39" i="360" a="1"/>
  <c r="AU39" i="360" s="1"/>
  <c r="AL39" i="360" s="1"/>
  <c r="AT40" i="360" a="1"/>
  <c r="AT40" i="360" s="1"/>
  <c r="AS29" i="360" a="1"/>
  <c r="AS29" i="360" s="1"/>
  <c r="AS19" i="360" a="1"/>
  <c r="AS19" i="360" s="1"/>
  <c r="AU21" i="360" a="1"/>
  <c r="AU21" i="360" s="1"/>
  <c r="AL21" i="360" s="1"/>
  <c r="AT33" i="360" a="1"/>
  <c r="AT33" i="360" s="1"/>
  <c r="AU18" i="360" a="1"/>
  <c r="AU18" i="360" s="1"/>
  <c r="AL18" i="360" s="1"/>
  <c r="AS32" i="360" a="1"/>
  <c r="AS32" i="360" s="1"/>
  <c r="AU14" i="360" a="1"/>
  <c r="AU14" i="360" s="1"/>
  <c r="AL14" i="360" s="1"/>
  <c r="AU31" i="360" a="1"/>
  <c r="AU31" i="360" s="1"/>
  <c r="AL31" i="360" s="1"/>
  <c r="AT22" i="360" a="1"/>
  <c r="AT22" i="360" s="1"/>
  <c r="AU23" i="360" a="1"/>
  <c r="AU23" i="360" s="1"/>
  <c r="AL23" i="360" s="1"/>
  <c r="AT16" i="360" a="1"/>
  <c r="AT16" i="360" s="1"/>
  <c r="AT24" i="360" a="1"/>
  <c r="AT24" i="360" s="1"/>
  <c r="AT14" i="360" a="1"/>
  <c r="AT14" i="360" s="1"/>
  <c r="AU46" i="360" a="1"/>
  <c r="AU46" i="360" s="1"/>
  <c r="AL46" i="360" s="1"/>
  <c r="AU28" i="360" a="1"/>
  <c r="AU28" i="360" s="1"/>
  <c r="AL28" i="360" s="1"/>
  <c r="AT23" i="360" a="1"/>
  <c r="AT23" i="360" s="1"/>
  <c r="AU34" i="360" a="1"/>
  <c r="AU34" i="360" s="1"/>
  <c r="AL34" i="360" s="1"/>
  <c r="AS45" i="360" a="1"/>
  <c r="AS45" i="360" s="1"/>
  <c r="AS11" i="356" a="1"/>
  <c r="AS11" i="356" s="1"/>
  <c r="AT47" i="356" a="1"/>
  <c r="AT47" i="356" s="1"/>
  <c r="AT21" i="356" a="1"/>
  <c r="AT21" i="356" s="1"/>
  <c r="AS15" i="356" a="1"/>
  <c r="AS15" i="356" s="1"/>
  <c r="AU12" i="356" a="1"/>
  <c r="AU12" i="356" s="1"/>
  <c r="AL12" i="356" s="1"/>
  <c r="AS40" i="356" a="1"/>
  <c r="AS40" i="356" s="1"/>
  <c r="AT35" i="356" a="1"/>
  <c r="AT35" i="356" s="1"/>
  <c r="AS32" i="356" a="1"/>
  <c r="AS32" i="356" s="1"/>
  <c r="AS10" i="356" a="1"/>
  <c r="AS10" i="356" s="1"/>
  <c r="AU25" i="356" a="1"/>
  <c r="AU25" i="356" s="1"/>
  <c r="AL25" i="356" s="1"/>
  <c r="AT22" i="356" a="1"/>
  <c r="AT22" i="356" s="1"/>
  <c r="AS23" i="356" a="1"/>
  <c r="AS23" i="356" s="1"/>
  <c r="AU27" i="356" a="1"/>
  <c r="AU27" i="356" s="1"/>
  <c r="AL27" i="356" s="1"/>
  <c r="AT23" i="356" a="1"/>
  <c r="AT23" i="356" s="1"/>
  <c r="AU39" i="356" a="1"/>
  <c r="AU39" i="356" s="1"/>
  <c r="AL39" i="356" s="1"/>
  <c r="AU21" i="356" a="1"/>
  <c r="AU21" i="356" s="1"/>
  <c r="AL21" i="356" s="1"/>
  <c r="AT46" i="356" a="1"/>
  <c r="AT46" i="356" s="1"/>
  <c r="AS27" i="356" a="1"/>
  <c r="AS27" i="356" s="1"/>
  <c r="AS33" i="356" a="1"/>
  <c r="AS33" i="356" s="1"/>
  <c r="AS31" i="356" a="1"/>
  <c r="AS31" i="356" s="1"/>
  <c r="AS26" i="356" a="1"/>
  <c r="AS26" i="356" s="1"/>
  <c r="AU45" i="356" a="1"/>
  <c r="AU45" i="356" s="1"/>
  <c r="AL45" i="356" s="1"/>
  <c r="AU42" i="356" a="1"/>
  <c r="AU42" i="356" s="1"/>
  <c r="AL42" i="356" s="1"/>
  <c r="AT29" i="356" a="1"/>
  <c r="AT29" i="356" s="1"/>
  <c r="AS41" i="356" a="1"/>
  <c r="AS41" i="356" s="1"/>
  <c r="AS12" i="356" a="1"/>
  <c r="AS12" i="356" s="1"/>
  <c r="AU38" i="356" a="1"/>
  <c r="AU38" i="356" s="1"/>
  <c r="AL38" i="356" s="1"/>
  <c r="AT10" i="356" a="1"/>
  <c r="AT10" i="356" s="1"/>
  <c r="AS42" i="356" a="1"/>
  <c r="AS42" i="356" s="1"/>
  <c r="AT41" i="356" a="1"/>
  <c r="AT41" i="356" s="1"/>
  <c r="AU11" i="356" a="1"/>
  <c r="AU11" i="356" s="1"/>
  <c r="AL11" i="356" s="1"/>
  <c r="AT45" i="356" a="1"/>
  <c r="AT45" i="356" s="1"/>
  <c r="AT18" i="356" a="1"/>
  <c r="AT18" i="356" s="1"/>
  <c r="AS14" i="356" a="1"/>
  <c r="AS14" i="356" s="1"/>
  <c r="AU29" i="356" a="1"/>
  <c r="AU29" i="356" s="1"/>
  <c r="AL29" i="356" s="1"/>
  <c r="AT44" i="356" a="1"/>
  <c r="AT44" i="356" s="1"/>
  <c r="AT11" i="356" a="1"/>
  <c r="AT11" i="356" s="1"/>
  <c r="AT26" i="356" a="1"/>
  <c r="AT26" i="356" s="1"/>
  <c r="AU44" i="356" a="1"/>
  <c r="AU44" i="356" s="1"/>
  <c r="AL44" i="356" s="1"/>
  <c r="AT24" i="356" a="1"/>
  <c r="AT24" i="356" s="1"/>
  <c r="AU46" i="356" a="1"/>
  <c r="AU46" i="356" s="1"/>
  <c r="AL46" i="356" s="1"/>
  <c r="AS44" i="356" a="1"/>
  <c r="AS44" i="356" s="1"/>
  <c r="AS45" i="356" a="1"/>
  <c r="AS45" i="356" s="1"/>
  <c r="AT25" i="356" a="1"/>
  <c r="AT25" i="356" s="1"/>
  <c r="AU36" i="356" a="1"/>
  <c r="AU36" i="356" s="1"/>
  <c r="AL36" i="356" s="1"/>
  <c r="AU15" i="356" a="1"/>
  <c r="AU15" i="356" s="1"/>
  <c r="AL15" i="356" s="1"/>
  <c r="AT48" i="356" a="1"/>
  <c r="AT48" i="356" s="1"/>
  <c r="AU37" i="356" a="1"/>
  <c r="AU37" i="356" s="1"/>
  <c r="AL37" i="356" s="1"/>
  <c r="AT32" i="356" a="1"/>
  <c r="AT32" i="356" s="1"/>
  <c r="AS47" i="356" a="1"/>
  <c r="AS47" i="356" s="1"/>
  <c r="AS28" i="356" a="1"/>
  <c r="AS28" i="356" s="1"/>
  <c r="AT33" i="356" a="1"/>
  <c r="AT33" i="356" s="1"/>
  <c r="AS21" i="356" a="1"/>
  <c r="AS21" i="356" s="1"/>
  <c r="AU28" i="356" a="1"/>
  <c r="AU28" i="356" s="1"/>
  <c r="AL28" i="356" s="1"/>
  <c r="AU43" i="356" a="1"/>
  <c r="AU43" i="356" s="1"/>
  <c r="AL43" i="356" s="1"/>
  <c r="AU17" i="356" a="1"/>
  <c r="AU17" i="356" s="1"/>
  <c r="AL17" i="356" s="1"/>
  <c r="AT39" i="356" a="1"/>
  <c r="AT39" i="356" s="1"/>
  <c r="AS30" i="356" a="1"/>
  <c r="AS30" i="356" s="1"/>
  <c r="AT43" i="356" a="1"/>
  <c r="AT43" i="356" s="1"/>
  <c r="AT19" i="356" a="1"/>
  <c r="AT19" i="356" s="1"/>
  <c r="AT15" i="356" a="1"/>
  <c r="AT15" i="356" s="1"/>
  <c r="AU33" i="356" a="1"/>
  <c r="AU33" i="356" s="1"/>
  <c r="AL33" i="356" s="1"/>
  <c r="AU32" i="356" a="1"/>
  <c r="AU32" i="356" s="1"/>
  <c r="AL32" i="356" s="1"/>
  <c r="AT14" i="356" a="1"/>
  <c r="AT14" i="356" s="1"/>
  <c r="AT16" i="356" a="1"/>
  <c r="AT16" i="356" s="1"/>
  <c r="AT38" i="356" a="1"/>
  <c r="AT38" i="356" s="1"/>
  <c r="AS22" i="356" a="1"/>
  <c r="AS22" i="356" s="1"/>
  <c r="AU40" i="356" a="1"/>
  <c r="AU40" i="356" s="1"/>
  <c r="AL40" i="356" s="1"/>
  <c r="AT42" i="356" a="1"/>
  <c r="AT42" i="356" s="1"/>
  <c r="AU20" i="356" a="1"/>
  <c r="AU20" i="356" s="1"/>
  <c r="AL20" i="356" s="1"/>
  <c r="AS18" i="356" a="1"/>
  <c r="AS18" i="356" s="1"/>
  <c r="AS39" i="356" a="1"/>
  <c r="AS39" i="356" s="1"/>
  <c r="AS49" i="356" a="1"/>
  <c r="AS49" i="356" s="1"/>
  <c r="AU34" i="356" a="1"/>
  <c r="AU34" i="356" s="1"/>
  <c r="AL34" i="356" s="1"/>
  <c r="AU18" i="356" a="1"/>
  <c r="AU18" i="356" s="1"/>
  <c r="AL18" i="356" s="1"/>
  <c r="AU30" i="356" a="1"/>
  <c r="AU30" i="356" s="1"/>
  <c r="AL30" i="356" s="1"/>
  <c r="AU19" i="356" a="1"/>
  <c r="AU19" i="356" s="1"/>
  <c r="AL19" i="356" s="1"/>
  <c r="AU47" i="356" a="1"/>
  <c r="AU47" i="356" s="1"/>
  <c r="AL47" i="356" s="1"/>
  <c r="AU35" i="356" a="1"/>
  <c r="AU35" i="356" s="1"/>
  <c r="AL35" i="356" s="1"/>
  <c r="AS46" i="356" a="1"/>
  <c r="AS46" i="356" s="1"/>
  <c r="AU16" i="356" a="1"/>
  <c r="AU16" i="356" s="1"/>
  <c r="AL16" i="356" s="1"/>
  <c r="AS35" i="356" a="1"/>
  <c r="AS35" i="356" s="1"/>
  <c r="AT37" i="356" a="1"/>
  <c r="AT37" i="356" s="1"/>
  <c r="AU26" i="356" a="1"/>
  <c r="AU26" i="356" s="1"/>
  <c r="AL26" i="356" s="1"/>
  <c r="AU22" i="356" a="1"/>
  <c r="AU22" i="356" s="1"/>
  <c r="AL22" i="356" s="1"/>
  <c r="AS20" i="356" a="1"/>
  <c r="AS20" i="356" s="1"/>
  <c r="AU23" i="356" a="1"/>
  <c r="AU23" i="356" s="1"/>
  <c r="AL23" i="356" s="1"/>
  <c r="AS48" i="356" a="1"/>
  <c r="AS48" i="356" s="1"/>
  <c r="AU10" i="356" a="1"/>
  <c r="AU10" i="356" s="1"/>
  <c r="AL10" i="356" s="1"/>
  <c r="AT36" i="356" a="1"/>
  <c r="AT36" i="356" s="1"/>
  <c r="AT12" i="356" a="1"/>
  <c r="AT12" i="356" s="1"/>
  <c r="AS25" i="356" a="1"/>
  <c r="AS25" i="356" s="1"/>
  <c r="AM25" i="356" s="1"/>
  <c r="AU41" i="356" a="1"/>
  <c r="AU41" i="356" s="1"/>
  <c r="AL41" i="356" s="1"/>
  <c r="AS19" i="356" a="1"/>
  <c r="AS19" i="356" s="1"/>
  <c r="AS16" i="356" a="1"/>
  <c r="AS16" i="356" s="1"/>
  <c r="AU49" i="356" a="1"/>
  <c r="AU49" i="356" s="1"/>
  <c r="AL49" i="356" s="1"/>
  <c r="AT13" i="356" a="1"/>
  <c r="AT13" i="356" s="1"/>
  <c r="AS43" i="356" a="1"/>
  <c r="AS43" i="356" s="1"/>
  <c r="AU13" i="356" a="1"/>
  <c r="AU13" i="356" s="1"/>
  <c r="AL13" i="356" s="1"/>
  <c r="AS13" i="356" a="1"/>
  <c r="AS13" i="356" s="1"/>
  <c r="AS36" i="356" a="1"/>
  <c r="AS36" i="356" s="1"/>
  <c r="AU14" i="356" a="1"/>
  <c r="AU14" i="356" s="1"/>
  <c r="AL14" i="356" s="1"/>
  <c r="AT31" i="356" a="1"/>
  <c r="AT31" i="356" s="1"/>
  <c r="AT27" i="356" a="1"/>
  <c r="AT27" i="356" s="1"/>
  <c r="AT34" i="356" a="1"/>
  <c r="AT34" i="356" s="1"/>
  <c r="AS38" i="356" a="1"/>
  <c r="AS38" i="356" s="1"/>
  <c r="AT20" i="356" a="1"/>
  <c r="AT20" i="356" s="1"/>
  <c r="AU24" i="356" a="1"/>
  <c r="AU24" i="356" s="1"/>
  <c r="AL24" i="356" s="1"/>
  <c r="AU48" i="356" a="1"/>
  <c r="AU48" i="356" s="1"/>
  <c r="AL48" i="356" s="1"/>
  <c r="AU31" i="356" a="1"/>
  <c r="AU31" i="356" s="1"/>
  <c r="AL31" i="356" s="1"/>
  <c r="AT28" i="356" a="1"/>
  <c r="AT28" i="356" s="1"/>
  <c r="AT17" i="356" a="1"/>
  <c r="AT17" i="356" s="1"/>
  <c r="AT30" i="356" a="1"/>
  <c r="AT30" i="356" s="1"/>
  <c r="AS24" i="356" a="1"/>
  <c r="AS24" i="356" s="1"/>
  <c r="AS17" i="356" a="1"/>
  <c r="AS17" i="356" s="1"/>
  <c r="AS34" i="356" a="1"/>
  <c r="AS34" i="356" s="1"/>
  <c r="AS29" i="356" a="1"/>
  <c r="AS29" i="356" s="1"/>
  <c r="AT40" i="356" a="1"/>
  <c r="AT40" i="356" s="1"/>
  <c r="AS37" i="356" a="1"/>
  <c r="AS37" i="356" s="1"/>
  <c r="AS27" i="359" a="1"/>
  <c r="AS27" i="359" s="1"/>
  <c r="AS31" i="330" a="1"/>
  <c r="AS31" i="330" s="1"/>
  <c r="AT24" i="330" a="1"/>
  <c r="AT24" i="330" s="1"/>
  <c r="AS48" i="330" a="1"/>
  <c r="AS48" i="330" s="1"/>
  <c r="AS11" i="330" a="1"/>
  <c r="AS11" i="330" s="1"/>
  <c r="AT49" i="330" a="1"/>
  <c r="AT49" i="330" s="1"/>
  <c r="AS10" i="330" a="1"/>
  <c r="AS10" i="330" s="1"/>
  <c r="AT22" i="330" a="1"/>
  <c r="AT22" i="330" s="1"/>
  <c r="AU20" i="330" a="1"/>
  <c r="AU20" i="330" s="1"/>
  <c r="AL20" i="330" s="1"/>
  <c r="AU28" i="330" a="1"/>
  <c r="AU28" i="330" s="1"/>
  <c r="AL28" i="330" s="1"/>
  <c r="AU42" i="330" a="1"/>
  <c r="AU42" i="330" s="1"/>
  <c r="AL42" i="330" s="1"/>
  <c r="AU38" i="330" a="1"/>
  <c r="AU38" i="330" s="1"/>
  <c r="AL38" i="330" s="1"/>
  <c r="AT37" i="330" a="1"/>
  <c r="AT37" i="330" s="1"/>
  <c r="AT26" i="330" a="1"/>
  <c r="AT26" i="330" s="1"/>
  <c r="AS46" i="330" a="1"/>
  <c r="AS46" i="330" s="1"/>
  <c r="AT16" i="330" a="1"/>
  <c r="AT16" i="330" s="1"/>
  <c r="AT10" i="355" a="1"/>
  <c r="AT10" i="355" s="1"/>
  <c r="AU30" i="330" a="1"/>
  <c r="AU30" i="330" s="1"/>
  <c r="AL30" i="330" s="1"/>
  <c r="AS24" i="330" a="1"/>
  <c r="AS24" i="330" s="1"/>
  <c r="AS34" i="330" a="1"/>
  <c r="AS34" i="330" s="1"/>
  <c r="AT28" i="330" a="1"/>
  <c r="AT28" i="330" s="1"/>
  <c r="AT36" i="358" a="1"/>
  <c r="AT36" i="358" s="1"/>
  <c r="AT20" i="358" a="1"/>
  <c r="AT20" i="358" s="1"/>
  <c r="AS48" i="358" a="1"/>
  <c r="AS48" i="358" s="1"/>
  <c r="AS40" i="358" a="1"/>
  <c r="AS40" i="358" s="1"/>
  <c r="AS32" i="358" a="1"/>
  <c r="AS32" i="358" s="1"/>
  <c r="AU42" i="358" a="1"/>
  <c r="AU42" i="358" s="1"/>
  <c r="AL42" i="358" s="1"/>
  <c r="AT19" i="358" a="1"/>
  <c r="AT19" i="358" s="1"/>
  <c r="AT17" i="358" a="1"/>
  <c r="AT17" i="358" s="1"/>
  <c r="AS45" i="358" a="1"/>
  <c r="AS45" i="358" s="1"/>
  <c r="AU12" i="358" a="1"/>
  <c r="AU12" i="358" s="1"/>
  <c r="AL12" i="358" s="1"/>
  <c r="AS15" i="358" a="1"/>
  <c r="AS15" i="358" s="1"/>
  <c r="AS43" i="358" a="1"/>
  <c r="AS43" i="358" s="1"/>
  <c r="AU22" i="358" a="1"/>
  <c r="AU22" i="358" s="1"/>
  <c r="AL22" i="358" s="1"/>
  <c r="AT25" i="358" a="1"/>
  <c r="AT25" i="358" s="1"/>
  <c r="AS47" i="358" a="1"/>
  <c r="AS47" i="358" s="1"/>
  <c r="AT34" i="358" a="1"/>
  <c r="AT34" i="358" s="1"/>
  <c r="AT18" i="358" a="1"/>
  <c r="AT18" i="358" s="1"/>
  <c r="AU47" i="358" a="1"/>
  <c r="AU47" i="358" s="1"/>
  <c r="AL47" i="358" s="1"/>
  <c r="AU39" i="358" a="1"/>
  <c r="AU39" i="358" s="1"/>
  <c r="AL39" i="358" s="1"/>
  <c r="AU31" i="358" a="1"/>
  <c r="AU31" i="358" s="1"/>
  <c r="AL31" i="358" s="1"/>
  <c r="AS41" i="358" a="1"/>
  <c r="AS41" i="358" s="1"/>
  <c r="AU16" i="358" a="1"/>
  <c r="AU16" i="358" s="1"/>
  <c r="AL16" i="358" s="1"/>
  <c r="AU14" i="358" a="1"/>
  <c r="AU14" i="358" s="1"/>
  <c r="AL14" i="358" s="1"/>
  <c r="AT39" i="358" a="1"/>
  <c r="AT39" i="358" s="1"/>
  <c r="AU11" i="358" a="1"/>
  <c r="AU11" i="358" s="1"/>
  <c r="AL11" i="358" s="1"/>
  <c r="AS39" i="358" a="1"/>
  <c r="AS39" i="358" s="1"/>
  <c r="AT37" i="358" a="1"/>
  <c r="AT37" i="358" s="1"/>
  <c r="AS11" i="358" a="1"/>
  <c r="AS11" i="358" s="1"/>
  <c r="AT21" i="358" a="1"/>
  <c r="AT21" i="358" s="1"/>
  <c r="AT33" i="358" a="1"/>
  <c r="AT33" i="358" s="1"/>
  <c r="AT48" i="358" a="1"/>
  <c r="AT48" i="358" s="1"/>
  <c r="AT32" i="358" a="1"/>
  <c r="AT32" i="358" s="1"/>
  <c r="AT16" i="358" a="1"/>
  <c r="AT16" i="358" s="1"/>
  <c r="AS46" i="358" a="1"/>
  <c r="AS46" i="358" s="1"/>
  <c r="AS38" i="358" a="1"/>
  <c r="AS38" i="358" s="1"/>
  <c r="AS30" i="358" a="1"/>
  <c r="AS30" i="358" s="1"/>
  <c r="AS37" i="358" a="1"/>
  <c r="AS37" i="358" s="1"/>
  <c r="AU15" i="358" a="1"/>
  <c r="AU15" i="358" s="1"/>
  <c r="AL15" i="358" s="1"/>
  <c r="AU13" i="358" a="1"/>
  <c r="AU13" i="358" s="1"/>
  <c r="AL13" i="358" s="1"/>
  <c r="AT35" i="358" a="1"/>
  <c r="AT35" i="358" s="1"/>
  <c r="AU40" i="358" a="1"/>
  <c r="AU40" i="358" s="1"/>
  <c r="AL40" i="358" s="1"/>
  <c r="AT11" i="358" a="1"/>
  <c r="AT11" i="358" s="1"/>
  <c r="AU26" i="358" a="1"/>
  <c r="AU26" i="358" s="1"/>
  <c r="AL26" i="358" s="1"/>
  <c r="AU38" i="358" a="1"/>
  <c r="AU38" i="358" s="1"/>
  <c r="AL38" i="358" s="1"/>
  <c r="AS24" i="358" a="1"/>
  <c r="AS24" i="358" s="1"/>
  <c r="AT44" i="358" a="1"/>
  <c r="AT44" i="358" s="1"/>
  <c r="AT28" i="358" a="1"/>
  <c r="AT28" i="358" s="1"/>
  <c r="AT12" i="358" a="1"/>
  <c r="AT12" i="358" s="1"/>
  <c r="AS44" i="358" a="1"/>
  <c r="AS44" i="358" s="1"/>
  <c r="AS36" i="358" a="1"/>
  <c r="AS36" i="358" s="1"/>
  <c r="AS28" i="358" a="1"/>
  <c r="AS28" i="358" s="1"/>
  <c r="AS29" i="358" a="1"/>
  <c r="AS29" i="358" s="1"/>
  <c r="AS17" i="358" a="1"/>
  <c r="AS17" i="358" s="1"/>
  <c r="AU32" i="358" a="1"/>
  <c r="AU32" i="358" s="1"/>
  <c r="AL32" i="358" s="1"/>
  <c r="AT27" i="358" a="1"/>
  <c r="AT27" i="358" s="1"/>
  <c r="AS14" i="358" a="1"/>
  <c r="AS14" i="358" s="1"/>
  <c r="AT29" i="358" a="1"/>
  <c r="AT29" i="358" s="1"/>
  <c r="AU19" i="358" a="1"/>
  <c r="AU19" i="358" s="1"/>
  <c r="AL19" i="358" s="1"/>
  <c r="AS35" i="358" a="1"/>
  <c r="AS35" i="358" s="1"/>
  <c r="AU34" i="358" a="1"/>
  <c r="AU34" i="358" s="1"/>
  <c r="AL34" i="358" s="1"/>
  <c r="AT42" i="358" a="1"/>
  <c r="AT42" i="358" s="1"/>
  <c r="AT26" i="358" a="1"/>
  <c r="AT26" i="358" s="1"/>
  <c r="AT10" i="358" a="1"/>
  <c r="AT10" i="358" s="1"/>
  <c r="AU43" i="358" a="1"/>
  <c r="AU43" i="358" s="1"/>
  <c r="AL43" i="358" s="1"/>
  <c r="AU35" i="358" a="1"/>
  <c r="AU35" i="358" s="1"/>
  <c r="AL35" i="358" s="1"/>
  <c r="AU27" i="358" a="1"/>
  <c r="AU27" i="358" s="1"/>
  <c r="AL27" i="358" s="1"/>
  <c r="AS25" i="358" a="1"/>
  <c r="AS25" i="358" s="1"/>
  <c r="AU10" i="358" a="1"/>
  <c r="AU10" i="358" s="1"/>
  <c r="AL10" i="358" s="1"/>
  <c r="AT13" i="358" a="1"/>
  <c r="AT13" i="358" s="1"/>
  <c r="AS19" i="358" a="1"/>
  <c r="AS19" i="358" s="1"/>
  <c r="AS31" i="358" a="1"/>
  <c r="AS31" i="358" s="1"/>
  <c r="AU20" i="358" a="1"/>
  <c r="AU20" i="358" s="1"/>
  <c r="AL20" i="358" s="1"/>
  <c r="AS13" i="358" a="1"/>
  <c r="AS13" i="358" s="1"/>
  <c r="AU24" i="358" a="1"/>
  <c r="AU24" i="358" s="1"/>
  <c r="AL24" i="358" s="1"/>
  <c r="AT23" i="358" a="1"/>
  <c r="AT23" i="358" s="1"/>
  <c r="AT22" i="358" a="1"/>
  <c r="AT22" i="358" s="1"/>
  <c r="AS34" i="358" a="1"/>
  <c r="AS34" i="358" s="1"/>
  <c r="AU36" i="358" a="1"/>
  <c r="AU36" i="358" s="1"/>
  <c r="AL36" i="358" s="1"/>
  <c r="AT15" i="358" a="1"/>
  <c r="AT15" i="358" s="1"/>
  <c r="AT41" i="358" a="1"/>
  <c r="AT41" i="358" s="1"/>
  <c r="AT14" i="358" a="1"/>
  <c r="AT14" i="358" s="1"/>
  <c r="AU33" i="358" a="1"/>
  <c r="AU33" i="358" s="1"/>
  <c r="AL33" i="358" s="1"/>
  <c r="AS21" i="358" a="1"/>
  <c r="AS21" i="358" s="1"/>
  <c r="AU28" i="358" a="1"/>
  <c r="AU28" i="358" s="1"/>
  <c r="AL28" i="358" s="1"/>
  <c r="AU30" i="358" a="1"/>
  <c r="AU30" i="358" s="1"/>
  <c r="AL30" i="358" s="1"/>
  <c r="AS26" i="358" a="1"/>
  <c r="AS26" i="358" s="1"/>
  <c r="AU29" i="358" a="1"/>
  <c r="AU29" i="358" s="1"/>
  <c r="AL29" i="358" s="1"/>
  <c r="AS18" i="358" a="1"/>
  <c r="AS18" i="358" s="1"/>
  <c r="AS22" i="358" a="1"/>
  <c r="AS22" i="358" s="1"/>
  <c r="AS49" i="358" a="1"/>
  <c r="AS49" i="358" s="1"/>
  <c r="AT46" i="358" a="1"/>
  <c r="AT46" i="358" s="1"/>
  <c r="AU49" i="358" a="1"/>
  <c r="AU49" i="358" s="1"/>
  <c r="AL49" i="358" s="1"/>
  <c r="AU25" i="358" a="1"/>
  <c r="AU25" i="358" s="1"/>
  <c r="AL25" i="358" s="1"/>
  <c r="AT43" i="358" a="1"/>
  <c r="AT43" i="358" s="1"/>
  <c r="AU23" i="358" a="1"/>
  <c r="AU23" i="358" s="1"/>
  <c r="AL23" i="358" s="1"/>
  <c r="AU17" i="358" a="1"/>
  <c r="AU17" i="358" s="1"/>
  <c r="AL17" i="358" s="1"/>
  <c r="AT40" i="358" a="1"/>
  <c r="AT40" i="358" s="1"/>
  <c r="AU45" i="358" a="1"/>
  <c r="AU45" i="358" s="1"/>
  <c r="AL45" i="358" s="1"/>
  <c r="AT45" i="358" a="1"/>
  <c r="AT45" i="358" s="1"/>
  <c r="AT49" i="358" a="1"/>
  <c r="AT49" i="358" s="1"/>
  <c r="AT47" i="358" a="1"/>
  <c r="AT47" i="358" s="1"/>
  <c r="AS12" i="358" a="1"/>
  <c r="AS12" i="358" s="1"/>
  <c r="AT24" i="358" a="1"/>
  <c r="AT24" i="358" s="1"/>
  <c r="AT31" i="358" a="1"/>
  <c r="AT31" i="358" s="1"/>
  <c r="AS42" i="358" a="1"/>
  <c r="AS42" i="358" s="1"/>
  <c r="AS16" i="358" a="1"/>
  <c r="AS16" i="358" s="1"/>
  <c r="AU41" i="358" a="1"/>
  <c r="AU41" i="358" s="1"/>
  <c r="AL41" i="358" s="1"/>
  <c r="AS10" i="358" a="1"/>
  <c r="AS10" i="358" s="1"/>
  <c r="AU37" i="358" a="1"/>
  <c r="AU37" i="358" s="1"/>
  <c r="AL37" i="358" s="1"/>
  <c r="AU44" i="358" a="1"/>
  <c r="AU44" i="358" s="1"/>
  <c r="AL44" i="358" s="1"/>
  <c r="AS33" i="358" a="1"/>
  <c r="AS33" i="358" s="1"/>
  <c r="AU21" i="358" a="1"/>
  <c r="AU21" i="358" s="1"/>
  <c r="AL21" i="358" s="1"/>
  <c r="AS23" i="358" a="1"/>
  <c r="AS23" i="358" s="1"/>
  <c r="AU48" i="358" a="1"/>
  <c r="AU48" i="358" s="1"/>
  <c r="AL48" i="358" s="1"/>
  <c r="AU46" i="358" a="1"/>
  <c r="AU46" i="358" s="1"/>
  <c r="AL46" i="358" s="1"/>
  <c r="AS27" i="358" a="1"/>
  <c r="AS27" i="358" s="1"/>
  <c r="AU18" i="358" a="1"/>
  <c r="AU18" i="358" s="1"/>
  <c r="AL18" i="358" s="1"/>
  <c r="AT38" i="358" a="1"/>
  <c r="AT38" i="358" s="1"/>
  <c r="AS20" i="358" a="1"/>
  <c r="AS20" i="358" s="1"/>
  <c r="AT30" i="358" a="1"/>
  <c r="AT30" i="358" s="1"/>
  <c r="AT39" i="362" a="1"/>
  <c r="AT39" i="362" s="1"/>
  <c r="AU36" i="362" a="1"/>
  <c r="AU36" i="362" s="1"/>
  <c r="AL36" i="362" s="1"/>
  <c r="AS28" i="362" a="1"/>
  <c r="AS28" i="362" s="1"/>
  <c r="AS27" i="362" a="1"/>
  <c r="AS27" i="362" s="1"/>
  <c r="AU42" i="362" a="1"/>
  <c r="AU42" i="362" s="1"/>
  <c r="AL42" i="362" s="1"/>
  <c r="AU46" i="362" a="1"/>
  <c r="AU46" i="362" s="1"/>
  <c r="AL46" i="362" s="1"/>
  <c r="AU35" i="362" a="1"/>
  <c r="AU35" i="362" s="1"/>
  <c r="AL35" i="362" s="1"/>
  <c r="AT19" i="362" a="1"/>
  <c r="AT19" i="362" s="1"/>
  <c r="AU24" i="362" a="1"/>
  <c r="AU24" i="362" s="1"/>
  <c r="AL24" i="362" s="1"/>
  <c r="AU27" i="362" a="1"/>
  <c r="AU27" i="362" s="1"/>
  <c r="AL27" i="362" s="1"/>
  <c r="AS35" i="362" a="1"/>
  <c r="AS35" i="362" s="1"/>
  <c r="AU33" i="362" a="1"/>
  <c r="AU33" i="362" s="1"/>
  <c r="AL33" i="362" s="1"/>
  <c r="AT31" i="362" a="1"/>
  <c r="AT31" i="362" s="1"/>
  <c r="AS10" i="362" a="1"/>
  <c r="AS10" i="362" s="1"/>
  <c r="AS20" i="362" a="1"/>
  <c r="AS20" i="362" s="1"/>
  <c r="AT25" i="362" a="1"/>
  <c r="AT25" i="362" s="1"/>
  <c r="AS37" i="362" a="1"/>
  <c r="AS37" i="362" s="1"/>
  <c r="AU23" i="362" a="1"/>
  <c r="AU23" i="362" s="1"/>
  <c r="AL23" i="362" s="1"/>
  <c r="AS21" i="362" a="1"/>
  <c r="AS21" i="362" s="1"/>
  <c r="AU18" i="362" a="1"/>
  <c r="AU18" i="362" s="1"/>
  <c r="AL18" i="362" s="1"/>
  <c r="AU44" i="362" a="1"/>
  <c r="AU44" i="362" s="1"/>
  <c r="AL44" i="362" s="1"/>
  <c r="AT24" i="362" a="1"/>
  <c r="AT24" i="362" s="1"/>
  <c r="AU31" i="362" a="1"/>
  <c r="AU31" i="362" s="1"/>
  <c r="AL31" i="362" s="1"/>
  <c r="AU17" i="362" a="1"/>
  <c r="AU17" i="362" s="1"/>
  <c r="AL17" i="362" s="1"/>
  <c r="AS25" i="362" a="1"/>
  <c r="AS25" i="362" s="1"/>
  <c r="AT40" i="362" a="1"/>
  <c r="AT40" i="362" s="1"/>
  <c r="AU28" i="362" a="1"/>
  <c r="AU28" i="362" s="1"/>
  <c r="AL28" i="362" s="1"/>
  <c r="AT28" i="362" a="1"/>
  <c r="AT28" i="362" s="1"/>
  <c r="AT47" i="362" a="1"/>
  <c r="AT47" i="362" s="1"/>
  <c r="AS38" i="362" a="1"/>
  <c r="AS38" i="362" s="1"/>
  <c r="AS13" i="362" a="1"/>
  <c r="AS13" i="362" s="1"/>
  <c r="AT17" i="362" a="1"/>
  <c r="AT17" i="362" s="1"/>
  <c r="AU34" i="362" a="1"/>
  <c r="AU34" i="362" s="1"/>
  <c r="AL34" i="362" s="1"/>
  <c r="AS32" i="362" a="1"/>
  <c r="AS32" i="362" s="1"/>
  <c r="AU30" i="362" a="1"/>
  <c r="AU30" i="362" s="1"/>
  <c r="AL30" i="362" s="1"/>
  <c r="AT44" i="362" a="1"/>
  <c r="AT44" i="362" s="1"/>
  <c r="AU41" i="362" a="1"/>
  <c r="AU41" i="362" s="1"/>
  <c r="AL41" i="362" s="1"/>
  <c r="AU29" i="362" a="1"/>
  <c r="AU29" i="362" s="1"/>
  <c r="AL29" i="362" s="1"/>
  <c r="AT26" i="362" a="1"/>
  <c r="AT26" i="362" s="1"/>
  <c r="AT12" i="362" a="1"/>
  <c r="AT12" i="362" s="1"/>
  <c r="AS49" i="362" a="1"/>
  <c r="AS49" i="362" s="1"/>
  <c r="AU16" i="362" a="1"/>
  <c r="AU16" i="362" s="1"/>
  <c r="AL16" i="362" s="1"/>
  <c r="AU37" i="362" a="1"/>
  <c r="AU37" i="362" s="1"/>
  <c r="AL37" i="362" s="1"/>
  <c r="AS22" i="362" a="1"/>
  <c r="AS22" i="362" s="1"/>
  <c r="AS24" i="362" a="1"/>
  <c r="AS24" i="362" s="1"/>
  <c r="AT43" i="362" a="1"/>
  <c r="AT43" i="362" s="1"/>
  <c r="AU26" i="362" a="1"/>
  <c r="AU26" i="362" s="1"/>
  <c r="AL26" i="362" s="1"/>
  <c r="AT41" i="362" a="1"/>
  <c r="AT41" i="362" s="1"/>
  <c r="AS23" i="362" a="1"/>
  <c r="AS23" i="362" s="1"/>
  <c r="AU14" i="362" a="1"/>
  <c r="AU14" i="362" s="1"/>
  <c r="AL14" i="362" s="1"/>
  <c r="AT33" i="362" a="1"/>
  <c r="AT33" i="362" s="1"/>
  <c r="AT15" i="362" a="1"/>
  <c r="AT15" i="362" s="1"/>
  <c r="AT21" i="362" a="1"/>
  <c r="AT21" i="362" s="1"/>
  <c r="AT23" i="362" a="1"/>
  <c r="AT23" i="362" s="1"/>
  <c r="AS40" i="362" a="1"/>
  <c r="AS40" i="362" s="1"/>
  <c r="AT48" i="362" a="1"/>
  <c r="AT48" i="362" s="1"/>
  <c r="AU45" i="362" a="1"/>
  <c r="AU45" i="362" s="1"/>
  <c r="AL45" i="362" s="1"/>
  <c r="AU38" i="362" a="1"/>
  <c r="AU38" i="362" s="1"/>
  <c r="AL38" i="362" s="1"/>
  <c r="AS16" i="362" a="1"/>
  <c r="AS16" i="362" s="1"/>
  <c r="AS44" i="362" a="1"/>
  <c r="AS44" i="362" s="1"/>
  <c r="AS17" i="362" a="1"/>
  <c r="AS17" i="362" s="1"/>
  <c r="AS41" i="362" a="1"/>
  <c r="AS41" i="362" s="1"/>
  <c r="AT14" i="362" a="1"/>
  <c r="AT14" i="362" s="1"/>
  <c r="AU48" i="362" a="1"/>
  <c r="AU48" i="362" s="1"/>
  <c r="AL48" i="362" s="1"/>
  <c r="AS45" i="362" a="1"/>
  <c r="AS45" i="362" s="1"/>
  <c r="AT11" i="362" a="1"/>
  <c r="AT11" i="362" s="1"/>
  <c r="AS48" i="362" a="1"/>
  <c r="AS48" i="362" s="1"/>
  <c r="AT30" i="362" a="1"/>
  <c r="AT30" i="362" s="1"/>
  <c r="AT27" i="362" a="1"/>
  <c r="AT27" i="362" s="1"/>
  <c r="AU22" i="362" a="1"/>
  <c r="AU22" i="362" s="1"/>
  <c r="AL22" i="362" s="1"/>
  <c r="AS30" i="362" a="1"/>
  <c r="AS30" i="362" s="1"/>
  <c r="AU21" i="362" a="1"/>
  <c r="AU21" i="362" s="1"/>
  <c r="AL21" i="362" s="1"/>
  <c r="AT45" i="362" a="1"/>
  <c r="AT45" i="362" s="1"/>
  <c r="AT34" i="362" a="1"/>
  <c r="AT34" i="362" s="1"/>
  <c r="AU15" i="362" a="1"/>
  <c r="AU15" i="362" s="1"/>
  <c r="AL15" i="362" s="1"/>
  <c r="AU12" i="362" a="1"/>
  <c r="AU12" i="362" s="1"/>
  <c r="AL12" i="362" s="1"/>
  <c r="AT32" i="362" a="1"/>
  <c r="AT32" i="362" s="1"/>
  <c r="AT16" i="362" a="1"/>
  <c r="AT16" i="362" s="1"/>
  <c r="AU40" i="362" a="1"/>
  <c r="AU40" i="362" s="1"/>
  <c r="AL40" i="362" s="1"/>
  <c r="AT42" i="362" a="1"/>
  <c r="AT42" i="362" s="1"/>
  <c r="AS18" i="362" a="1"/>
  <c r="AS18" i="362" s="1"/>
  <c r="AU13" i="362" a="1"/>
  <c r="AU13" i="362" s="1"/>
  <c r="AL13" i="362" s="1"/>
  <c r="AU47" i="362" a="1"/>
  <c r="AU47" i="362" s="1"/>
  <c r="AL47" i="362" s="1"/>
  <c r="AU43" i="362" a="1"/>
  <c r="AU43" i="362" s="1"/>
  <c r="AL43" i="362" s="1"/>
  <c r="AU32" i="362" a="1"/>
  <c r="AU32" i="362" s="1"/>
  <c r="AL32" i="362" s="1"/>
  <c r="AT49" i="362" a="1"/>
  <c r="AT49" i="362" s="1"/>
  <c r="AT46" i="362" a="1"/>
  <c r="AT46" i="362" s="1"/>
  <c r="AU11" i="362" a="1"/>
  <c r="AU11" i="362" s="1"/>
  <c r="AL11" i="362" s="1"/>
  <c r="AS12" i="362" a="1"/>
  <c r="AS12" i="362" s="1"/>
  <c r="AS34" i="362" a="1"/>
  <c r="AS34" i="362" s="1"/>
  <c r="AM34" i="362" s="1"/>
  <c r="AU10" i="362" a="1"/>
  <c r="AU10" i="362" s="1"/>
  <c r="AL10" i="362" s="1"/>
  <c r="AT36" i="362" a="1"/>
  <c r="AT36" i="362" s="1"/>
  <c r="AS19" i="362" a="1"/>
  <c r="AS19" i="362" s="1"/>
  <c r="AS26" i="362" a="1"/>
  <c r="AS26" i="362" s="1"/>
  <c r="AS42" i="362" a="1"/>
  <c r="AS42" i="362" s="1"/>
  <c r="AU25" i="362" a="1"/>
  <c r="AU25" i="362" s="1"/>
  <c r="AL25" i="362" s="1"/>
  <c r="AS33" i="362" a="1"/>
  <c r="AS33" i="362" s="1"/>
  <c r="AT38" i="362" a="1"/>
  <c r="AT38" i="362" s="1"/>
  <c r="AT22" i="362" a="1"/>
  <c r="AT22" i="362" s="1"/>
  <c r="AU49" i="362" a="1"/>
  <c r="AU49" i="362" s="1"/>
  <c r="AL49" i="362" s="1"/>
  <c r="AT37" i="362" a="1"/>
  <c r="AT37" i="362" s="1"/>
  <c r="AT13" i="362" a="1"/>
  <c r="AT13" i="362" s="1"/>
  <c r="AU39" i="362" a="1"/>
  <c r="AU39" i="362" s="1"/>
  <c r="AL39" i="362" s="1"/>
  <c r="AS46" i="362" a="1"/>
  <c r="AS46" i="362" s="1"/>
  <c r="AS31" i="362" a="1"/>
  <c r="AS31" i="362" s="1"/>
  <c r="AS29" i="362" a="1"/>
  <c r="AS29" i="362" s="1"/>
  <c r="AT29" i="362" a="1"/>
  <c r="AT29" i="362" s="1"/>
  <c r="AT35" i="362" a="1"/>
  <c r="AT35" i="362" s="1"/>
  <c r="AS39" i="362" a="1"/>
  <c r="AS39" i="362" s="1"/>
  <c r="AT10" i="362" a="1"/>
  <c r="AT10" i="362" s="1"/>
  <c r="AT20" i="362" a="1"/>
  <c r="AT20" i="362" s="1"/>
  <c r="AS47" i="362" a="1"/>
  <c r="AS47" i="362" s="1"/>
  <c r="AS11" i="362" a="1"/>
  <c r="AS11" i="362" s="1"/>
  <c r="AS36" i="362" a="1"/>
  <c r="AS36" i="362" s="1"/>
  <c r="AS43" i="362" a="1"/>
  <c r="AS43" i="362" s="1"/>
  <c r="AU20" i="362" a="1"/>
  <c r="AU20" i="362" s="1"/>
  <c r="AL20" i="362" s="1"/>
  <c r="AT18" i="362" a="1"/>
  <c r="AT18" i="362" s="1"/>
  <c r="AS18" i="330" a="1"/>
  <c r="AS18" i="330" s="1"/>
  <c r="AT13" i="330" a="1"/>
  <c r="AT13" i="330" s="1"/>
  <c r="AS36" i="330" a="1"/>
  <c r="AS36" i="330" s="1"/>
  <c r="AS21" i="330" a="1"/>
  <c r="AS21" i="330" s="1"/>
  <c r="AS32" i="330" a="1"/>
  <c r="AS32" i="330" s="1"/>
  <c r="AT19" i="330" a="1"/>
  <c r="AT19" i="330" s="1"/>
  <c r="AT42" i="330" a="1"/>
  <c r="AT42" i="330" s="1"/>
  <c r="AU27" i="330" a="1"/>
  <c r="AU27" i="330" s="1"/>
  <c r="AL27" i="330" s="1"/>
  <c r="AT31" i="330" a="1"/>
  <c r="AT31" i="330" s="1"/>
  <c r="AT15" i="330" a="1"/>
  <c r="AT15" i="330" s="1"/>
  <c r="AU25" i="330" a="1"/>
  <c r="AU25" i="330" s="1"/>
  <c r="AL25" i="330" s="1"/>
  <c r="AU46" i="330" a="1"/>
  <c r="AU46" i="330" s="1"/>
  <c r="AL46" i="330" s="1"/>
  <c r="AT40" i="330" a="1"/>
  <c r="AT40" i="330" s="1"/>
  <c r="AS35" i="330" a="1"/>
  <c r="AS35" i="330" s="1"/>
  <c r="AS23" i="330" a="1"/>
  <c r="AS23" i="330" s="1"/>
  <c r="AT39" i="352" a="1"/>
  <c r="AT39" i="352" s="1"/>
  <c r="AT34" i="359" a="1"/>
  <c r="AT34" i="359" s="1"/>
  <c r="AT36" i="354" a="1"/>
  <c r="AT36" i="354" s="1"/>
  <c r="AU45" i="354" a="1"/>
  <c r="AU45" i="354" s="1"/>
  <c r="AL45" i="354" s="1"/>
  <c r="AU36" i="354" a="1"/>
  <c r="AU36" i="354" s="1"/>
  <c r="AL36" i="354" s="1"/>
  <c r="AS15" i="354" a="1"/>
  <c r="AS15" i="354" s="1"/>
  <c r="AT40" i="354" a="1"/>
  <c r="AT40" i="354" s="1"/>
  <c r="AS37" i="354" a="1"/>
  <c r="AS37" i="354" s="1"/>
  <c r="AT26" i="354" a="1"/>
  <c r="AT26" i="354" s="1"/>
  <c r="AU26" i="354" a="1"/>
  <c r="AU26" i="354" s="1"/>
  <c r="AL26" i="354" s="1"/>
  <c r="AT46" i="354" a="1"/>
  <c r="AT46" i="354" s="1"/>
  <c r="AS34" i="354" a="1"/>
  <c r="AS34" i="354" s="1"/>
  <c r="AS40" i="354" a="1"/>
  <c r="AS40" i="354" s="1"/>
  <c r="AS35" i="354" a="1"/>
  <c r="AS35" i="354" s="1"/>
  <c r="AS20" i="354" a="1"/>
  <c r="AS20" i="354" s="1"/>
  <c r="AS32" i="354" a="1"/>
  <c r="AS32" i="354" s="1"/>
  <c r="AU16" i="354" a="1"/>
  <c r="AU16" i="354" s="1"/>
  <c r="AL16" i="354" s="1"/>
  <c r="AT30" i="354" a="1"/>
  <c r="AT30" i="354" s="1"/>
  <c r="AU32" i="354" a="1"/>
  <c r="AU32" i="354" s="1"/>
  <c r="AL32" i="354" s="1"/>
  <c r="AS17" i="354" a="1"/>
  <c r="AS17" i="354" s="1"/>
  <c r="AT22" i="354" a="1"/>
  <c r="AT22" i="354" s="1"/>
  <c r="AU40" i="354" a="1"/>
  <c r="AU40" i="354" s="1"/>
  <c r="AL40" i="354" s="1"/>
  <c r="AS43" i="354" a="1"/>
  <c r="AS43" i="354" s="1"/>
  <c r="AS42" i="354" a="1"/>
  <c r="AS42" i="354" s="1"/>
  <c r="AU23" i="354" a="1"/>
  <c r="AU23" i="354" s="1"/>
  <c r="AL23" i="354" s="1"/>
  <c r="AU15" i="354" a="1"/>
  <c r="AU15" i="354" s="1"/>
  <c r="AL15" i="354" s="1"/>
  <c r="AT44" i="354" a="1"/>
  <c r="AT44" i="354" s="1"/>
  <c r="AS46" i="354" a="1"/>
  <c r="AS46" i="354" s="1"/>
  <c r="AT20" i="354" a="1"/>
  <c r="AT20" i="354" s="1"/>
  <c r="AT11" i="354" a="1"/>
  <c r="AT11" i="354" s="1"/>
  <c r="AS39" i="354" a="1"/>
  <c r="AS39" i="354" s="1"/>
  <c r="AU47" i="354" a="1"/>
  <c r="AU47" i="354" s="1"/>
  <c r="AL47" i="354" s="1"/>
  <c r="AS10" i="354" a="1"/>
  <c r="AS10" i="354" s="1"/>
  <c r="AS18" i="354" a="1"/>
  <c r="AS18" i="354" s="1"/>
  <c r="AS19" i="354" a="1"/>
  <c r="AS19" i="354" s="1"/>
  <c r="AT12" i="354" a="1"/>
  <c r="AT12" i="354" s="1"/>
  <c r="AS23" i="354" a="1"/>
  <c r="AS23" i="354" s="1"/>
  <c r="AT33" i="354" a="1"/>
  <c r="AT33" i="354" s="1"/>
  <c r="AU22" i="354" a="1"/>
  <c r="AU22" i="354" s="1"/>
  <c r="AL22" i="354" s="1"/>
  <c r="AS26" i="354" a="1"/>
  <c r="AS26" i="354" s="1"/>
  <c r="AT45" i="354" a="1"/>
  <c r="AT45" i="354" s="1"/>
  <c r="AS27" i="354" a="1"/>
  <c r="AS27" i="354" s="1"/>
  <c r="AT23" i="354" a="1"/>
  <c r="AT23" i="354" s="1"/>
  <c r="AU13" i="354" a="1"/>
  <c r="AU13" i="354" s="1"/>
  <c r="AL13" i="354" s="1"/>
  <c r="AU19" i="354" a="1"/>
  <c r="AU19" i="354" s="1"/>
  <c r="AL19" i="354" s="1"/>
  <c r="AU18" i="354" a="1"/>
  <c r="AU18" i="354" s="1"/>
  <c r="AL18" i="354" s="1"/>
  <c r="AU12" i="354" a="1"/>
  <c r="AU12" i="354" s="1"/>
  <c r="AL12" i="354" s="1"/>
  <c r="AT49" i="354" a="1"/>
  <c r="AT49" i="354" s="1"/>
  <c r="AU28" i="354" a="1"/>
  <c r="AU28" i="354" s="1"/>
  <c r="AL28" i="354" s="1"/>
  <c r="AU48" i="354" a="1"/>
  <c r="AU48" i="354" s="1"/>
  <c r="AL48" i="354" s="1"/>
  <c r="AT41" i="354" a="1"/>
  <c r="AT41" i="354" s="1"/>
  <c r="AS21" i="354" a="1"/>
  <c r="AS21" i="354" s="1"/>
  <c r="AS33" i="354" a="1"/>
  <c r="AS33" i="354" s="1"/>
  <c r="AT25" i="354" a="1"/>
  <c r="AT25" i="354" s="1"/>
  <c r="AS45" i="354" a="1"/>
  <c r="AS45" i="354" s="1"/>
  <c r="AS24" i="354" a="1"/>
  <c r="AS24" i="354" s="1"/>
  <c r="AS28" i="354" a="1"/>
  <c r="AS28" i="354" s="1"/>
  <c r="AU30" i="354" a="1"/>
  <c r="AU30" i="354" s="1"/>
  <c r="AL30" i="354" s="1"/>
  <c r="AS14" i="354" a="1"/>
  <c r="AS14" i="354" s="1"/>
  <c r="AU46" i="354" a="1"/>
  <c r="AU46" i="354" s="1"/>
  <c r="AL46" i="354" s="1"/>
  <c r="AS11" i="354" a="1"/>
  <c r="AS11" i="354" s="1"/>
  <c r="AT43" i="354" a="1"/>
  <c r="AT43" i="354" s="1"/>
  <c r="AU29" i="354" a="1"/>
  <c r="AU29" i="354" s="1"/>
  <c r="AL29" i="354" s="1"/>
  <c r="AS31" i="354" a="1"/>
  <c r="AS31" i="354" s="1"/>
  <c r="AT17" i="354" a="1"/>
  <c r="AT17" i="354" s="1"/>
  <c r="AT14" i="354" a="1"/>
  <c r="AT14" i="354" s="1"/>
  <c r="AU41" i="354" a="1"/>
  <c r="AU41" i="354" s="1"/>
  <c r="AL41" i="354" s="1"/>
  <c r="AT32" i="354" a="1"/>
  <c r="AT32" i="354" s="1"/>
  <c r="AU49" i="354" a="1"/>
  <c r="AU49" i="354" s="1"/>
  <c r="AL49" i="354" s="1"/>
  <c r="AT16" i="354" a="1"/>
  <c r="AT16" i="354" s="1"/>
  <c r="AU17" i="354" a="1"/>
  <c r="AU17" i="354" s="1"/>
  <c r="AL17" i="354" s="1"/>
  <c r="AS36" i="354" a="1"/>
  <c r="AS36" i="354" s="1"/>
  <c r="AT19" i="354" a="1"/>
  <c r="AT19" i="354" s="1"/>
  <c r="AU39" i="354" a="1"/>
  <c r="AU39" i="354" s="1"/>
  <c r="AL39" i="354" s="1"/>
  <c r="AS47" i="354" a="1"/>
  <c r="AS47" i="354" s="1"/>
  <c r="AS22" i="354" a="1"/>
  <c r="AS22" i="354" s="1"/>
  <c r="AU43" i="354" a="1"/>
  <c r="AU43" i="354" s="1"/>
  <c r="AL43" i="354" s="1"/>
  <c r="AT39" i="354" a="1"/>
  <c r="AT39" i="354" s="1"/>
  <c r="AT15" i="354" a="1"/>
  <c r="AT15" i="354" s="1"/>
  <c r="AS38" i="354" a="1"/>
  <c r="AS38" i="354" s="1"/>
  <c r="AS12" i="354" a="1"/>
  <c r="AS12" i="354" s="1"/>
  <c r="AU38" i="354" a="1"/>
  <c r="AU38" i="354" s="1"/>
  <c r="AL38" i="354" s="1"/>
  <c r="AT28" i="354" a="1"/>
  <c r="AT28" i="354" s="1"/>
  <c r="AT13" i="354" a="1"/>
  <c r="AT13" i="354" s="1"/>
  <c r="AT10" i="354" a="1"/>
  <c r="AT10" i="354" s="1"/>
  <c r="AS44" i="354" a="1"/>
  <c r="AS44" i="354" s="1"/>
  <c r="AU21" i="354" a="1"/>
  <c r="AU21" i="354" s="1"/>
  <c r="AL21" i="354" s="1"/>
  <c r="AU37" i="354" a="1"/>
  <c r="AU37" i="354" s="1"/>
  <c r="AL37" i="354" s="1"/>
  <c r="AT35" i="354" a="1"/>
  <c r="AT35" i="354" s="1"/>
  <c r="AS48" i="354" a="1"/>
  <c r="AS48" i="354" s="1"/>
  <c r="AT21" i="354" a="1"/>
  <c r="AT21" i="354" s="1"/>
  <c r="AS25" i="354" a="1"/>
  <c r="AS25" i="354" s="1"/>
  <c r="AT34" i="354" a="1"/>
  <c r="AT34" i="354" s="1"/>
  <c r="AU31" i="354" a="1"/>
  <c r="AU31" i="354" s="1"/>
  <c r="AL31" i="354" s="1"/>
  <c r="AS30" i="354" a="1"/>
  <c r="AS30" i="354" s="1"/>
  <c r="AT31" i="354" a="1"/>
  <c r="AT31" i="354" s="1"/>
  <c r="AT18" i="354" a="1"/>
  <c r="AT18" i="354" s="1"/>
  <c r="AT42" i="354" a="1"/>
  <c r="AT42" i="354" s="1"/>
  <c r="AU34" i="354" a="1"/>
  <c r="AU34" i="354" s="1"/>
  <c r="AL34" i="354" s="1"/>
  <c r="AT48" i="354" a="1"/>
  <c r="AT48" i="354" s="1"/>
  <c r="AS16" i="354" a="1"/>
  <c r="AS16" i="354" s="1"/>
  <c r="AS41" i="354" a="1"/>
  <c r="AS41" i="354" s="1"/>
  <c r="AT38" i="354" a="1"/>
  <c r="AT38" i="354" s="1"/>
  <c r="AS29" i="354" a="1"/>
  <c r="AS29" i="354" s="1"/>
  <c r="AU42" i="354" a="1"/>
  <c r="AU42" i="354" s="1"/>
  <c r="AL42" i="354" s="1"/>
  <c r="AU44" i="354" a="1"/>
  <c r="AU44" i="354" s="1"/>
  <c r="AL44" i="354" s="1"/>
  <c r="AU11" i="354" a="1"/>
  <c r="AU11" i="354" s="1"/>
  <c r="AL11" i="354" s="1"/>
  <c r="AU27" i="354" a="1"/>
  <c r="AU27" i="354" s="1"/>
  <c r="AL27" i="354" s="1"/>
  <c r="AU20" i="354" a="1"/>
  <c r="AU20" i="354" s="1"/>
  <c r="AL20" i="354" s="1"/>
  <c r="AT24" i="354" a="1"/>
  <c r="AT24" i="354" s="1"/>
  <c r="AU10" i="354" a="1"/>
  <c r="AU10" i="354" s="1"/>
  <c r="AL10" i="354" s="1"/>
  <c r="AU25" i="354" a="1"/>
  <c r="AU25" i="354" s="1"/>
  <c r="AL25" i="354" s="1"/>
  <c r="AT37" i="354" a="1"/>
  <c r="AT37" i="354" s="1"/>
  <c r="AT29" i="354" a="1"/>
  <c r="AT29" i="354" s="1"/>
  <c r="AT27" i="354" a="1"/>
  <c r="AT27" i="354" s="1"/>
  <c r="AU14" i="354" a="1"/>
  <c r="AU14" i="354" s="1"/>
  <c r="AL14" i="354" s="1"/>
  <c r="AU35" i="354" a="1"/>
  <c r="AU35" i="354" s="1"/>
  <c r="AL35" i="354" s="1"/>
  <c r="AS13" i="354" a="1"/>
  <c r="AS13" i="354" s="1"/>
  <c r="AU24" i="354" a="1"/>
  <c r="AU24" i="354" s="1"/>
  <c r="AL24" i="354" s="1"/>
  <c r="AU33" i="354" a="1"/>
  <c r="AU33" i="354" s="1"/>
  <c r="AL33" i="354" s="1"/>
  <c r="AS49" i="354" a="1"/>
  <c r="AS49" i="354" s="1"/>
  <c r="AT45" i="330" a="1"/>
  <c r="AT45" i="330" s="1"/>
  <c r="AS41" i="330" a="1"/>
  <c r="AS41" i="330" s="1"/>
  <c r="AU35" i="330" a="1"/>
  <c r="AU35" i="330" s="1"/>
  <c r="AL35" i="330" s="1"/>
  <c r="AU37" i="330" a="1"/>
  <c r="AU37" i="330" s="1"/>
  <c r="AL37" i="330" s="1"/>
  <c r="AT43" i="330" a="1"/>
  <c r="AT43" i="330" s="1"/>
  <c r="AS39" i="330" a="1"/>
  <c r="AS39" i="330" s="1"/>
  <c r="AU49" i="330" a="1"/>
  <c r="AU49" i="330" s="1"/>
  <c r="AL49" i="330" s="1"/>
  <c r="AU24" i="330" a="1"/>
  <c r="AU24" i="330" s="1"/>
  <c r="AL24" i="330" s="1"/>
  <c r="AS28" i="330" a="1"/>
  <c r="AS28" i="330" s="1"/>
  <c r="AS17" i="330" a="1"/>
  <c r="AS17" i="330" s="1"/>
  <c r="AM17" i="330" s="1"/>
  <c r="AS44" i="330" a="1"/>
  <c r="AS44" i="330" s="1"/>
  <c r="AU32" i="330" a="1"/>
  <c r="AU32" i="330" s="1"/>
  <c r="AL32" i="330" s="1"/>
  <c r="AS45" i="330" a="1"/>
  <c r="AS45" i="330" s="1"/>
  <c r="AT39" i="330" a="1"/>
  <c r="AT39" i="330" s="1"/>
  <c r="AU29" i="330" a="1"/>
  <c r="AU29" i="330" s="1"/>
  <c r="AL29" i="330" s="1"/>
  <c r="AT32" i="330" a="1"/>
  <c r="AT32" i="330" s="1"/>
  <c r="AT20" i="355" a="1"/>
  <c r="AT20" i="355" s="1"/>
  <c r="AM48" i="357" l="1"/>
  <c r="AM36" i="359"/>
  <c r="AM22" i="356"/>
  <c r="AM12" i="352"/>
  <c r="AM45" i="360"/>
  <c r="AM28" i="360"/>
  <c r="AM43" i="353"/>
  <c r="AM19" i="352"/>
  <c r="AM21" i="352"/>
  <c r="AM12" i="362"/>
  <c r="AM13" i="359"/>
  <c r="AM33" i="358"/>
  <c r="AM17" i="355"/>
  <c r="AM28" i="355"/>
  <c r="AM27" i="357"/>
  <c r="AM42" i="352"/>
  <c r="AM13" i="352"/>
  <c r="AM26" i="357"/>
  <c r="AM18" i="330"/>
  <c r="AO18" i="330" s="1"/>
  <c r="AP18" i="330" s="1"/>
  <c r="AM49" i="354"/>
  <c r="AM37" i="358"/>
  <c r="AM12" i="330"/>
  <c r="AO12" i="330" s="1"/>
  <c r="AP12" i="330" s="1"/>
  <c r="AM10" i="353"/>
  <c r="AM42" i="353"/>
  <c r="AM25" i="353"/>
  <c r="AM32" i="359"/>
  <c r="AM16" i="354"/>
  <c r="AM11" i="354"/>
  <c r="AM33" i="354"/>
  <c r="AM23" i="354"/>
  <c r="AM40" i="354"/>
  <c r="AM21" i="330"/>
  <c r="AM11" i="362"/>
  <c r="AM33" i="362"/>
  <c r="AM23" i="362"/>
  <c r="AM49" i="362"/>
  <c r="AM25" i="362"/>
  <c r="AM23" i="358"/>
  <c r="AM44" i="358"/>
  <c r="AM45" i="358"/>
  <c r="AM36" i="356"/>
  <c r="AM21" i="356"/>
  <c r="AM26" i="356"/>
  <c r="AM20" i="360"/>
  <c r="AM43" i="360"/>
  <c r="AM46" i="361"/>
  <c r="AM30" i="361"/>
  <c r="AM35" i="361"/>
  <c r="AM48" i="361"/>
  <c r="AM27" i="355"/>
  <c r="AM13" i="353"/>
  <c r="AM35" i="353"/>
  <c r="AM20" i="359"/>
  <c r="AM14" i="359"/>
  <c r="AM23" i="359"/>
  <c r="AM44" i="359"/>
  <c r="AM20" i="352"/>
  <c r="AM23" i="357"/>
  <c r="AM31" i="357"/>
  <c r="AM36" i="357"/>
  <c r="AM44" i="330"/>
  <c r="AM21" i="354"/>
  <c r="AM46" i="354"/>
  <c r="AM36" i="330"/>
  <c r="AM46" i="362"/>
  <c r="AM23" i="356"/>
  <c r="AM32" i="360"/>
  <c r="AM35" i="360"/>
  <c r="AM12" i="361"/>
  <c r="AM43" i="355"/>
  <c r="AM18" i="353"/>
  <c r="AM47" i="353"/>
  <c r="AM45" i="353"/>
  <c r="AM24" i="359"/>
  <c r="AM49" i="352"/>
  <c r="AM24" i="352"/>
  <c r="AM31" i="362"/>
  <c r="AM18" i="362"/>
  <c r="AM42" i="358"/>
  <c r="AM13" i="358"/>
  <c r="AM29" i="356"/>
  <c r="AM18" i="360"/>
  <c r="AM11" i="361"/>
  <c r="AM42" i="361"/>
  <c r="AM31" i="359"/>
  <c r="AM23" i="352"/>
  <c r="AM24" i="357"/>
  <c r="AM41" i="357"/>
  <c r="AM47" i="362"/>
  <c r="AM34" i="356"/>
  <c r="AM13" i="356"/>
  <c r="AM36" i="360"/>
  <c r="AM22" i="360"/>
  <c r="AM20" i="361"/>
  <c r="AM33" i="330"/>
  <c r="AM10" i="359"/>
  <c r="AM10" i="352"/>
  <c r="AM28" i="357"/>
  <c r="AM47" i="354"/>
  <c r="AM30" i="362"/>
  <c r="AM17" i="356"/>
  <c r="AM45" i="356"/>
  <c r="AM38" i="360"/>
  <c r="AM14" i="361"/>
  <c r="AM46" i="355"/>
  <c r="AM13" i="355"/>
  <c r="AM49" i="353"/>
  <c r="AM32" i="352"/>
  <c r="AM38" i="357"/>
  <c r="AM44" i="362"/>
  <c r="AM37" i="362"/>
  <c r="AM22" i="358"/>
  <c r="AM18" i="361"/>
  <c r="AM48" i="355"/>
  <c r="AM32" i="353"/>
  <c r="AM17" i="354"/>
  <c r="AM31" i="356"/>
  <c r="AM34" i="360"/>
  <c r="AM46" i="360"/>
  <c r="AM44" i="361"/>
  <c r="AM31" i="361"/>
  <c r="AM33" i="361"/>
  <c r="AM26" i="355"/>
  <c r="AM12" i="353"/>
  <c r="AM24" i="353"/>
  <c r="AM46" i="352"/>
  <c r="AM43" i="357"/>
  <c r="AM24" i="356"/>
  <c r="AM35" i="356"/>
  <c r="AM14" i="356"/>
  <c r="AM36" i="361"/>
  <c r="AM27" i="361"/>
  <c r="AM30" i="355"/>
  <c r="AM22" i="359"/>
  <c r="AM27" i="352"/>
  <c r="AM38" i="352"/>
  <c r="AM31" i="353"/>
  <c r="AM15" i="359"/>
  <c r="AM15" i="354"/>
  <c r="AM36" i="362"/>
  <c r="AM29" i="362"/>
  <c r="AM49" i="358"/>
  <c r="AM46" i="358"/>
  <c r="AM10" i="330"/>
  <c r="AO10" i="330" s="1"/>
  <c r="AP10" i="330" s="1"/>
  <c r="AM43" i="361"/>
  <c r="AM24" i="361"/>
  <c r="AM28" i="353"/>
  <c r="AM41" i="353"/>
  <c r="AM30" i="353"/>
  <c r="AM46" i="359"/>
  <c r="AM23" i="353"/>
  <c r="AM26" i="358"/>
  <c r="AM19" i="358"/>
  <c r="AM24" i="330"/>
  <c r="AM49" i="356"/>
  <c r="AM36" i="354"/>
  <c r="AM27" i="358"/>
  <c r="AM44" i="357"/>
  <c r="AM28" i="330"/>
  <c r="AM26" i="362"/>
  <c r="AM47" i="356"/>
  <c r="AM42" i="360"/>
  <c r="AM28" i="354"/>
  <c r="AM19" i="355"/>
  <c r="AM33" i="359"/>
  <c r="AM30" i="354"/>
  <c r="AM35" i="330"/>
  <c r="AM43" i="362"/>
  <c r="AM21" i="358"/>
  <c r="AM25" i="358"/>
  <c r="AM28" i="358"/>
  <c r="AM37" i="356"/>
  <c r="AM18" i="356"/>
  <c r="AM17" i="361"/>
  <c r="AM37" i="361"/>
  <c r="AM15" i="353"/>
  <c r="AM38" i="359"/>
  <c r="AM14" i="357"/>
  <c r="AM17" i="357"/>
  <c r="AM25" i="359"/>
  <c r="AM38" i="356"/>
  <c r="AM43" i="356"/>
  <c r="AM24" i="362"/>
  <c r="AM15" i="355"/>
  <c r="AM45" i="330"/>
  <c r="AM13" i="354"/>
  <c r="AM41" i="354"/>
  <c r="AM44" i="354"/>
  <c r="AM35" i="354"/>
  <c r="AM32" i="330"/>
  <c r="AM32" i="362"/>
  <c r="AM39" i="358"/>
  <c r="AM46" i="330"/>
  <c r="AM19" i="356"/>
  <c r="AM20" i="356"/>
  <c r="AM47" i="360"/>
  <c r="AM41" i="360"/>
  <c r="AM26" i="360"/>
  <c r="AM21" i="361"/>
  <c r="AM23" i="361"/>
  <c r="AM49" i="361"/>
  <c r="AM47" i="361"/>
  <c r="AM25" i="330"/>
  <c r="AM37" i="355"/>
  <c r="AM39" i="355"/>
  <c r="AM21" i="355"/>
  <c r="AM36" i="353"/>
  <c r="AM26" i="353"/>
  <c r="AM12" i="359"/>
  <c r="AM37" i="359"/>
  <c r="AM14" i="352"/>
  <c r="AM11" i="357"/>
  <c r="AM22" i="357"/>
  <c r="AM15" i="362"/>
  <c r="AM29" i="355"/>
  <c r="AM11" i="356"/>
  <c r="AM41" i="359"/>
  <c r="AM14" i="362"/>
  <c r="AM42" i="356"/>
  <c r="AM18" i="358"/>
  <c r="AM14" i="358"/>
  <c r="AM11" i="330"/>
  <c r="AO11" i="330" s="1"/>
  <c r="AP11" i="330" s="1"/>
  <c r="AM15" i="356"/>
  <c r="AM26" i="361"/>
  <c r="AM40" i="355"/>
  <c r="AM20" i="355"/>
  <c r="AM38" i="355"/>
  <c r="AM27" i="353"/>
  <c r="AM34" i="359"/>
  <c r="AL50" i="359"/>
  <c r="AM21" i="357"/>
  <c r="AM19" i="357"/>
  <c r="AM22" i="354"/>
  <c r="AM41" i="330"/>
  <c r="AM14" i="354"/>
  <c r="AM19" i="354"/>
  <c r="AM42" i="362"/>
  <c r="AM40" i="362"/>
  <c r="AM13" i="362"/>
  <c r="AM20" i="362"/>
  <c r="AM20" i="358"/>
  <c r="AM31" i="358"/>
  <c r="AM47" i="358"/>
  <c r="AM34" i="330"/>
  <c r="AM48" i="330"/>
  <c r="AM28" i="356"/>
  <c r="AM33" i="356"/>
  <c r="AM33" i="360"/>
  <c r="AM11" i="360"/>
  <c r="AM19" i="330"/>
  <c r="AO19" i="330" s="1"/>
  <c r="AP19" i="330" s="1"/>
  <c r="AM13" i="361"/>
  <c r="AM32" i="361"/>
  <c r="AM31" i="355"/>
  <c r="AM12" i="355"/>
  <c r="AM24" i="355"/>
  <c r="AM23" i="355"/>
  <c r="AM21" i="353"/>
  <c r="AM14" i="353"/>
  <c r="AM22" i="353"/>
  <c r="AM40" i="353"/>
  <c r="AM44" i="353"/>
  <c r="AM38" i="330"/>
  <c r="AM18" i="359"/>
  <c r="AM49" i="359"/>
  <c r="AM45" i="359"/>
  <c r="AM35" i="359"/>
  <c r="AM18" i="352"/>
  <c r="AL50" i="352"/>
  <c r="AM40" i="352"/>
  <c r="AM45" i="357"/>
  <c r="AM25" i="357"/>
  <c r="AM47" i="357"/>
  <c r="AL50" i="357"/>
  <c r="AL50" i="330"/>
  <c r="AM45" i="362"/>
  <c r="AM34" i="354"/>
  <c r="AM48" i="354"/>
  <c r="AM27" i="354"/>
  <c r="AM18" i="354"/>
  <c r="AM41" i="362"/>
  <c r="AM38" i="362"/>
  <c r="AM10" i="362"/>
  <c r="AM12" i="358"/>
  <c r="AM30" i="356"/>
  <c r="AM44" i="356"/>
  <c r="AM12" i="356"/>
  <c r="AM27" i="356"/>
  <c r="AL50" i="360"/>
  <c r="AM49" i="360"/>
  <c r="AM17" i="360"/>
  <c r="AM26" i="330"/>
  <c r="AM19" i="361"/>
  <c r="AL50" i="361"/>
  <c r="AM38" i="361"/>
  <c r="AM16" i="330"/>
  <c r="AO16" i="330" s="1"/>
  <c r="AP16" i="330" s="1"/>
  <c r="AM11" i="355"/>
  <c r="AM16" i="355"/>
  <c r="AM33" i="355"/>
  <c r="AM38" i="353"/>
  <c r="AM46" i="353"/>
  <c r="AM39" i="353"/>
  <c r="AM11" i="353"/>
  <c r="AL50" i="353"/>
  <c r="AM27" i="359"/>
  <c r="AM26" i="359"/>
  <c r="AM42" i="359"/>
  <c r="AM29" i="359"/>
  <c r="AM29" i="352"/>
  <c r="AM26" i="352"/>
  <c r="AM36" i="352"/>
  <c r="AM39" i="352"/>
  <c r="AM47" i="352"/>
  <c r="AM48" i="352"/>
  <c r="AM49" i="357"/>
  <c r="AM33" i="357"/>
  <c r="AM20" i="357"/>
  <c r="AM16" i="357"/>
  <c r="AM45" i="361"/>
  <c r="AM25" i="354"/>
  <c r="AM10" i="354"/>
  <c r="AM39" i="362"/>
  <c r="AM19" i="362"/>
  <c r="AM17" i="362"/>
  <c r="AM34" i="358"/>
  <c r="AM17" i="358"/>
  <c r="AM24" i="358"/>
  <c r="AM41" i="358"/>
  <c r="AM32" i="358"/>
  <c r="AM31" i="330"/>
  <c r="AL50" i="356"/>
  <c r="AM41" i="356"/>
  <c r="AM10" i="356"/>
  <c r="AM37" i="360"/>
  <c r="AM30" i="360"/>
  <c r="AM31" i="360"/>
  <c r="AM16" i="361"/>
  <c r="AM15" i="361"/>
  <c r="AM10" i="361"/>
  <c r="AM40" i="361"/>
  <c r="AM41" i="361"/>
  <c r="AM18" i="355"/>
  <c r="AM34" i="355"/>
  <c r="AM49" i="355"/>
  <c r="AM35" i="355"/>
  <c r="AM14" i="355"/>
  <c r="AM48" i="353"/>
  <c r="AM34" i="353"/>
  <c r="AM40" i="330"/>
  <c r="AM30" i="359"/>
  <c r="AM11" i="359"/>
  <c r="AM22" i="352"/>
  <c r="AM34" i="352"/>
  <c r="AM30" i="357"/>
  <c r="AM35" i="357"/>
  <c r="AM42" i="357"/>
  <c r="AM12" i="354"/>
  <c r="AM29" i="354"/>
  <c r="AM38" i="354"/>
  <c r="AM31" i="354"/>
  <c r="AM24" i="354"/>
  <c r="AM26" i="354"/>
  <c r="AM42" i="354"/>
  <c r="AM32" i="354"/>
  <c r="AM37" i="354"/>
  <c r="AM23" i="330"/>
  <c r="AM22" i="362"/>
  <c r="AM28" i="362"/>
  <c r="AM27" i="362"/>
  <c r="AM10" i="358"/>
  <c r="AL50" i="358"/>
  <c r="AM29" i="358"/>
  <c r="AM30" i="358"/>
  <c r="AM11" i="358"/>
  <c r="AM43" i="358"/>
  <c r="AM40" i="358"/>
  <c r="AM48" i="356"/>
  <c r="AM46" i="356"/>
  <c r="AM39" i="356"/>
  <c r="AM32" i="356"/>
  <c r="AM19" i="360"/>
  <c r="AM10" i="360"/>
  <c r="AM44" i="360"/>
  <c r="AM13" i="360"/>
  <c r="AM24" i="360"/>
  <c r="AM15" i="360"/>
  <c r="AM27" i="360"/>
  <c r="AM14" i="360"/>
  <c r="AM15" i="330"/>
  <c r="AO15" i="330" s="1"/>
  <c r="AP15" i="330" s="1"/>
  <c r="AM34" i="361"/>
  <c r="AM43" i="330"/>
  <c r="AM22" i="355"/>
  <c r="AM32" i="355"/>
  <c r="AM45" i="355"/>
  <c r="AM10" i="355"/>
  <c r="AM37" i="353"/>
  <c r="AM29" i="353"/>
  <c r="AM33" i="353"/>
  <c r="AM20" i="353"/>
  <c r="AM27" i="330"/>
  <c r="AM39" i="359"/>
  <c r="AM43" i="359"/>
  <c r="AM28" i="359"/>
  <c r="AM17" i="359"/>
  <c r="AM21" i="359"/>
  <c r="AM41" i="352"/>
  <c r="AM30" i="352"/>
  <c r="AM25" i="352"/>
  <c r="AM44" i="352"/>
  <c r="AM37" i="357"/>
  <c r="AM39" i="357"/>
  <c r="AM15" i="357"/>
  <c r="AM32" i="357"/>
  <c r="AM13" i="357"/>
  <c r="AM12" i="357"/>
  <c r="AM20" i="330"/>
  <c r="AO20" i="330" s="1"/>
  <c r="AP20" i="330" s="1"/>
  <c r="AM39" i="330"/>
  <c r="AL50" i="354"/>
  <c r="AM45" i="354"/>
  <c r="AM39" i="354"/>
  <c r="AM43" i="354"/>
  <c r="AM20" i="354"/>
  <c r="AL50" i="362"/>
  <c r="AM48" i="362"/>
  <c r="AM16" i="362"/>
  <c r="AM21" i="362"/>
  <c r="AM35" i="362"/>
  <c r="AM35" i="358"/>
  <c r="AM38" i="358"/>
  <c r="AM15" i="358"/>
  <c r="AM48" i="358"/>
  <c r="AM16" i="356"/>
  <c r="AM29" i="360"/>
  <c r="AM12" i="360"/>
  <c r="AM21" i="360"/>
  <c r="AM40" i="360"/>
  <c r="AM23" i="360"/>
  <c r="AM48" i="360"/>
  <c r="AM16" i="360"/>
  <c r="AM30" i="330"/>
  <c r="AM25" i="361"/>
  <c r="AM28" i="361"/>
  <c r="AM29" i="361"/>
  <c r="AM39" i="361"/>
  <c r="AM44" i="355"/>
  <c r="AM36" i="355"/>
  <c r="AL50" i="355"/>
  <c r="AM25" i="355"/>
  <c r="AM42" i="355"/>
  <c r="AM16" i="353"/>
  <c r="AM19" i="353"/>
  <c r="AM40" i="359"/>
  <c r="AM47" i="359"/>
  <c r="AM11" i="352"/>
  <c r="AM37" i="352"/>
  <c r="AM33" i="352"/>
  <c r="AM15" i="352"/>
  <c r="AM43" i="352"/>
  <c r="AM31" i="352"/>
  <c r="AM45" i="352"/>
  <c r="AM40" i="357"/>
  <c r="AM10" i="357"/>
  <c r="AM46" i="357"/>
  <c r="AM34" i="357"/>
  <c r="AM13" i="330"/>
  <c r="AM49" i="330"/>
  <c r="AM16" i="358"/>
  <c r="AM36" i="358"/>
  <c r="AM40" i="356"/>
  <c r="AM39" i="360"/>
  <c r="AM25" i="360"/>
  <c r="AM22" i="330"/>
  <c r="AM22" i="361"/>
  <c r="AM41" i="355"/>
  <c r="AM42" i="330"/>
  <c r="AM48" i="359"/>
  <c r="AM19" i="359"/>
  <c r="AM16" i="359"/>
  <c r="AM28" i="352"/>
  <c r="AM35" i="352"/>
  <c r="AM17" i="352"/>
  <c r="AM29" i="357"/>
  <c r="AM18" i="357"/>
  <c r="AM47" i="330"/>
  <c r="AM37" i="330"/>
  <c r="AO50" i="330" l="1"/>
  <c r="AP50" i="330" s="1"/>
  <c r="AM50" i="359"/>
  <c r="AM50" i="353"/>
  <c r="AM50" i="330"/>
  <c r="AM50" i="352"/>
  <c r="AM50" i="354"/>
  <c r="AM50" i="360"/>
  <c r="AM50" i="357"/>
  <c r="AM50" i="356"/>
  <c r="AM50" i="355"/>
  <c r="AM50" i="358"/>
  <c r="AM50" i="361"/>
  <c r="AM50" i="36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<sst xmlns="http://schemas.openxmlformats.org/spreadsheetml/2006/main" count="973" uniqueCount="108">
  <si>
    <t>Feiertage</t>
  </si>
  <si>
    <t>Neujahr</t>
  </si>
  <si>
    <t>Heilige 3 Könige</t>
  </si>
  <si>
    <t>Karfreitag</t>
  </si>
  <si>
    <t>Ostersonntag</t>
  </si>
  <si>
    <t>Ostermontag</t>
  </si>
  <si>
    <t>1. Mai Feiertag</t>
  </si>
  <si>
    <t>Christi Himmelfahrt</t>
  </si>
  <si>
    <t>Pfingstsonntag</t>
  </si>
  <si>
    <t>Pfingstmontag</t>
  </si>
  <si>
    <t>Fronleichnam</t>
  </si>
  <si>
    <t>Mariä Himmelfahrt</t>
  </si>
  <si>
    <t>Tag der Deutschen Einheit</t>
  </si>
  <si>
    <t>Allerheiligen</t>
  </si>
  <si>
    <t>1. Weihnachtsfeiertag</t>
  </si>
  <si>
    <t>2. Weihnachtsfeiertag</t>
  </si>
  <si>
    <t>copyright by Enrico Sadlowski</t>
  </si>
  <si>
    <t>T</t>
  </si>
  <si>
    <t>N</t>
  </si>
  <si>
    <t>U</t>
  </si>
  <si>
    <t>Mitarbeiter</t>
  </si>
  <si>
    <t>Wochentag</t>
  </si>
  <si>
    <t>Feiertag</t>
  </si>
  <si>
    <t>Monat</t>
  </si>
  <si>
    <t>Sortierung</t>
  </si>
  <si>
    <t>Objektleiter</t>
  </si>
  <si>
    <t>Einstellungen</t>
  </si>
  <si>
    <t>Überprüfung</t>
  </si>
  <si>
    <t>ESD SICHERHEITSDIENST GMBH</t>
  </si>
  <si>
    <t>EIN UNTERNEHMEN DER ESD DIENSTLEISTUNGSGRUPPE</t>
  </si>
  <si>
    <t>Legende</t>
  </si>
  <si>
    <t>Datum</t>
  </si>
  <si>
    <t>PersonalNr</t>
  </si>
  <si>
    <t>Hinweise für Lohnbüro</t>
  </si>
  <si>
    <t>Schichten</t>
  </si>
  <si>
    <t>Anzahl</t>
  </si>
  <si>
    <t>Kürzel</t>
  </si>
  <si>
    <t>Hinweis</t>
  </si>
  <si>
    <t xml:space="preserve">Jahr: </t>
  </si>
  <si>
    <t xml:space="preserve">Objekt: </t>
  </si>
  <si>
    <t xml:space="preserve">ObjektNr: </t>
  </si>
  <si>
    <t>Auf den Dienstplänen können nur Mitarbeiter ausgewählt werden,</t>
  </si>
  <si>
    <t>die in der Mitarbeiterliste stehen.</t>
  </si>
  <si>
    <t>Sortieren Sie die Liste am besten nach den Mitarbeiternamen aus</t>
  </si>
  <si>
    <t>dem Stammobjekt und dann nach Mitarbeitern aus Aushilfsobjekten</t>
  </si>
  <si>
    <t>Ges.</t>
  </si>
  <si>
    <t>Std.</t>
  </si>
  <si>
    <t>So.</t>
  </si>
  <si>
    <t>FT</t>
  </si>
  <si>
    <t>Gen.</t>
  </si>
  <si>
    <t>Rst.</t>
  </si>
  <si>
    <t>K</t>
  </si>
  <si>
    <t>Name</t>
  </si>
  <si>
    <t>Objekt:</t>
  </si>
  <si>
    <t>Tag</t>
  </si>
  <si>
    <t>Nacht</t>
  </si>
  <si>
    <t>S</t>
  </si>
  <si>
    <t>Ausgabe</t>
  </si>
  <si>
    <t>Urlaub</t>
  </si>
  <si>
    <t>Krank</t>
  </si>
  <si>
    <t>Wachschießen</t>
  </si>
  <si>
    <t>Hilfsspalten</t>
  </si>
  <si>
    <t>Sonntag</t>
  </si>
  <si>
    <t>Nächst Tag FT</t>
  </si>
  <si>
    <t>Bemerkungen</t>
  </si>
  <si>
    <t>Urlaubstage</t>
  </si>
  <si>
    <t>Diese Werte werden für die Überprüfung der Gesamtstunden unterhalb des Dienstplanes benötigt</t>
  </si>
  <si>
    <t>Bitte tragen Sie von jedem Mitarbeiter  PersonalNr und Anzahl der</t>
  </si>
  <si>
    <t>im angegebenen Jahr zustehenden Urlaubstage ein.</t>
  </si>
  <si>
    <t>Die PersonalNummern werden vom Zeiterfassungsprogramm benötigt.</t>
  </si>
  <si>
    <t>Die Anzahl der Urlaubstage werden zum berechnen des</t>
  </si>
  <si>
    <t>Resturlaubs im Dienstplan benötigt.</t>
  </si>
  <si>
    <t>Tragen Sie hier alle Kürzel für Tag- und für Nachtschichten ein.</t>
  </si>
  <si>
    <t xml:space="preserve">Diese werden im Dienstplan zur Berechnung der Gesamtanzahl </t>
  </si>
  <si>
    <t>an Tag- und Nachtchichten verwendet</t>
  </si>
  <si>
    <t xml:space="preserve">														</t>
  </si>
  <si>
    <t>G</t>
  </si>
  <si>
    <t xml:space="preserve">Objektl. </t>
  </si>
  <si>
    <t>Unter Vorbehalt / Änderungen möglich</t>
  </si>
  <si>
    <t>Objektleitername</t>
  </si>
  <si>
    <t>Bayerwald Kaserne Regen</t>
  </si>
  <si>
    <t>KT</t>
  </si>
  <si>
    <t>KN</t>
  </si>
  <si>
    <t>Dölfel Christian OL AWP</t>
  </si>
  <si>
    <t>Medvedova Eva AWP</t>
  </si>
  <si>
    <t>Medved Antonin AWP</t>
  </si>
  <si>
    <t>Wagner Michael AWP</t>
  </si>
  <si>
    <t>Elrich Arthur</t>
  </si>
  <si>
    <t>Weindinger Marco AWP</t>
  </si>
  <si>
    <t>Royt Pavel AWP</t>
  </si>
  <si>
    <t>Simek Vlastimil</t>
  </si>
  <si>
    <t>Malek Robert AWP</t>
  </si>
  <si>
    <t>Haselbacher Rene AWP</t>
  </si>
  <si>
    <t>Schwaiger Walter AWP</t>
  </si>
  <si>
    <t xml:space="preserve">Lorz Michael </t>
  </si>
  <si>
    <t>Kaiser Andre</t>
  </si>
  <si>
    <t>Roweder Thomas AWP</t>
  </si>
  <si>
    <t>Schober Marco</t>
  </si>
  <si>
    <t xml:space="preserve">Baetz Thomas </t>
  </si>
  <si>
    <t>Konsole Tag</t>
  </si>
  <si>
    <t>Tagschicht</t>
  </si>
  <si>
    <t>Konsole Nacht</t>
  </si>
  <si>
    <t>Nachtschicht</t>
  </si>
  <si>
    <t/>
  </si>
  <si>
    <t>O-00369</t>
  </si>
  <si>
    <t>Mitarbeiternamen</t>
  </si>
  <si>
    <t>ST</t>
  </si>
  <si>
    <t>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</si>
</sst>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\ %"/>
    <numFmt numFmtId="165" formatCode="ddd"/>
    <numFmt numFmtId="166" formatCode="d"/>
    <numFmt numFmtId="167" formatCode="dd/mmm/yyyy"/>
  </numFmts>
  <fonts count="6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4"/>
      <color rgb="FFFFFFFF"/>
      <name val="Arial"/>
      <family val="2"/>
    </font>
    <font>
      <sz val="2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4"/>
      <color rgb="FF0000D4"/>
      <name val="Arial"/>
      <family val="2"/>
    </font>
    <font>
      <sz val="14"/>
      <color theme="0"/>
      <name val="Arial"/>
      <family val="2"/>
    </font>
    <font>
      <b/>
      <sz val="18"/>
      <name val="Arial"/>
      <family val="2"/>
    </font>
    <font>
      <sz val="18"/>
      <color rgb="FF00000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8"/>
      <color theme="1"/>
      <name val="Arial"/>
      <family val="2"/>
    </font>
    <font>
      <sz val="12"/>
      <color theme="1"/>
      <name val="Arial"/>
      <family val="2"/>
    </font>
    <font>
      <b/>
      <sz val="20"/>
      <name val="Arial"/>
      <family val="2"/>
    </font>
    <font>
      <sz val="11"/>
      <name val="Arial"/>
      <family val="2"/>
    </font>
    <font>
      <b/>
      <sz val="18"/>
      <color rgb="FF000000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36"/>
      <name val="Arial"/>
      <family val="2"/>
    </font>
    <font>
      <b/>
      <sz val="36"/>
      <name val="Arial"/>
      <family val="2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4"/>
      <color theme="0" tint="-0.14999847407452621"/>
      <name val="Arial"/>
      <family val="2"/>
    </font>
    <font>
      <b/>
      <sz val="20"/>
      <color theme="0" tint="-0.14999847407452621"/>
      <name val="Arial"/>
      <family val="2"/>
    </font>
    <font>
      <sz val="22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b/>
      <sz val="18"/>
      <color theme="9"/>
      <name val="Arial"/>
      <family val="2"/>
    </font>
    <font>
      <sz val="16"/>
      <color rgb="FF0000D4"/>
      <name val="Arial"/>
      <family val="2"/>
    </font>
    <font>
      <b/>
      <sz val="16"/>
      <color rgb="FFFF0000"/>
      <name val="Arial"/>
      <family val="2"/>
    </font>
    <font>
      <sz val="16"/>
      <color rgb="FFFF0000"/>
      <name val="Arial"/>
      <family val="2"/>
    </font>
    <font>
      <b/>
      <sz val="18"/>
      <color rgb="FFFF0000"/>
      <name val="Arial"/>
      <family val="2"/>
    </font>
    <font>
      <sz val="24"/>
      <color rgb="FFFF0000"/>
      <name val="Arial"/>
      <family val="2"/>
    </font>
    <font>
      <sz val="12"/>
      <color rgb="FF0070C0"/>
      <name val="Arial"/>
      <family val="2"/>
    </font>
    <font>
      <sz val="12"/>
      <color rgb="FFFF0000"/>
      <name val="Arial"/>
      <family val="2"/>
    </font>
    <font>
      <sz val="12"/>
      <color rgb="FFD37A13"/>
      <name val="Arial"/>
      <family val="2"/>
    </font>
    <font>
      <sz val="18"/>
      <color rgb="FFFF0000"/>
      <name val="Arial"/>
      <family val="2"/>
    </font>
    <font>
      <sz val="18"/>
      <color rgb="FFD37A13"/>
      <name val="Arial"/>
      <family val="2"/>
    </font>
    <font>
      <sz val="16"/>
      <color rgb="FF00B050"/>
      <name val="Arial"/>
      <family val="2"/>
    </font>
    <font>
      <sz val="10"/>
      <color rgb="FF00B050"/>
      <name val="Arial"/>
      <family val="2"/>
    </font>
    <font>
      <sz val="14"/>
      <color rgb="FFFF0000"/>
      <name val="Arial"/>
      <family val="2"/>
    </font>
    <font>
      <sz val="14"/>
      <color rgb="FFD37A13"/>
      <name val="Arial"/>
      <family val="2"/>
    </font>
    <font>
      <b/>
      <sz val="16"/>
      <color theme="0"/>
      <name val="Arial"/>
      <family val="2"/>
    </font>
    <font>
      <b/>
      <sz val="26"/>
      <name val="Arial"/>
      <family val="2"/>
    </font>
    <font>
      <b/>
      <sz val="14"/>
      <color rgb="FFFF0000"/>
      <name val="Arial"/>
      <family val="2"/>
    </font>
    <font>
      <b/>
      <sz val="14"/>
      <color rgb="FFD37A13"/>
      <name val="Arial"/>
      <family val="2"/>
    </font>
    <font>
      <b/>
      <sz val="14"/>
      <color rgb="FF0070C0"/>
      <name val="Arial"/>
      <family val="2"/>
    </font>
    <font>
      <b/>
      <sz val="16"/>
      <color theme="1"/>
      <name val="Arial"/>
      <family val="2"/>
    </font>
    <font>
      <sz val="16"/>
      <color theme="0"/>
      <name val="Arial"/>
      <family val="2"/>
    </font>
    <font>
      <b/>
      <i/>
      <sz val="18"/>
      <name val="Arial"/>
      <family val="2"/>
    </font>
    <font>
      <sz val="16"/>
      <color theme="1"/>
      <name val="Arial"/>
      <family val="2"/>
    </font>
    <font>
      <sz val="16"/>
      <color theme="0" tint="-0.249977111117893"/>
      <name val="Arial"/>
      <family val="2"/>
    </font>
    <font>
      <sz val="16"/>
      <color indexed="55"/>
      <name val="Arial"/>
      <family val="2"/>
    </font>
    <font>
      <sz val="14"/>
      <color theme="1"/>
      <name val="Arial"/>
      <family val="2"/>
    </font>
    <font>
      <sz val="14"/>
      <color rgb="FF0070C0"/>
      <name val="Arial"/>
      <family val="2"/>
    </font>
    <font>
      <sz val="2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CC"/>
        <bgColor rgb="FFFDEADA"/>
      </patternFill>
    </fill>
    <fill>
      <patternFill patternType="solid">
        <fgColor rgb="FFFFFFFF"/>
        <bgColor rgb="FFF2F2F2"/>
      </patternFill>
    </fill>
    <fill>
      <patternFill patternType="solid">
        <fgColor rgb="FF00A933"/>
        <bgColor rgb="FF00B050"/>
      </patternFill>
    </fill>
    <fill>
      <patternFill patternType="solid">
        <fgColor rgb="FFFF0000"/>
        <bgColor rgb="FF993300"/>
      </patternFill>
    </fill>
    <fill>
      <patternFill patternType="solid">
        <fgColor rgb="FF00B050"/>
        <bgColor rgb="FF00A933"/>
      </patternFill>
    </fill>
    <fill>
      <patternFill patternType="solid">
        <fgColor rgb="FFF2F2F2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9">
    <xf numFmtId="0" fontId="0" fillId="0" borderId="0"/>
    <xf numFmtId="0" fontId="1" fillId="2" borderId="1" applyProtection="0"/>
    <xf numFmtId="164" fontId="1" fillId="0" borderId="0" applyBorder="0" applyProtection="0"/>
    <xf numFmtId="0" fontId="2" fillId="0" borderId="0"/>
    <xf numFmtId="0" fontId="3" fillId="3" borderId="0" applyBorder="0" applyProtection="0"/>
    <xf numFmtId="0" fontId="4" fillId="4" borderId="0" applyBorder="0">
      <alignment horizontal="center"/>
      <protection hidden="1"/>
    </xf>
    <xf numFmtId="0" fontId="4" fillId="5" borderId="0" applyBorder="0">
      <alignment horizontal="center"/>
      <protection hidden="1"/>
    </xf>
    <xf numFmtId="0" fontId="4" fillId="5" borderId="0" applyBorder="0">
      <alignment horizontal="center"/>
      <protection hidden="1"/>
    </xf>
    <xf numFmtId="0" fontId="4" fillId="4" borderId="0" applyBorder="0">
      <alignment horizontal="center"/>
      <protection hidden="1"/>
    </xf>
  </cellStyleXfs>
  <cellXfs count="300">
    <xf numFmtId="0" fontId="0" fillId="0" borderId="0" xfId="0"/>
    <xf numFmtId="0" fontId="5" fillId="0" borderId="0" xfId="0" applyFont="1" applyAlignment="1">
      <alignment horizontal="right" vertical="center"/>
    </xf>
    <xf numFmtId="0" fontId="3" fillId="3" borderId="3" xfId="0" applyFont="1" applyFill="1" applyBorder="1" applyAlignment="1" applyProtection="1">
      <alignment vertical="center"/>
      <protection hidden="1"/>
    </xf>
    <xf numFmtId="0" fontId="3" fillId="3" borderId="5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3" fillId="0" borderId="0" xfId="0" applyFont="1" applyProtection="1">
      <protection hidden="1"/>
    </xf>
    <xf numFmtId="0" fontId="0" fillId="0" borderId="0" xfId="0" applyProtection="1">
      <protection hidden="1"/>
    </xf>
    <xf numFmtId="0" fontId="8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top"/>
      <protection hidden="1"/>
    </xf>
    <xf numFmtId="0" fontId="3" fillId="0" borderId="0" xfId="0" applyFont="1" applyProtection="1">
      <protection locked="0"/>
    </xf>
    <xf numFmtId="0" fontId="15" fillId="0" borderId="1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7" fillId="0" borderId="0" xfId="0" applyFont="1" applyAlignment="1" applyProtection="1">
      <alignment vertical="top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4" fontId="3" fillId="0" borderId="17" xfId="0" applyNumberFormat="1" applyFont="1" applyBorder="1" applyProtection="1">
      <protection locked="0"/>
    </xf>
    <xf numFmtId="14" fontId="3" fillId="0" borderId="15" xfId="0" applyNumberFormat="1" applyFont="1" applyBorder="1" applyProtection="1"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0" fillId="9" borderId="19" xfId="0" applyFont="1" applyFill="1" applyBorder="1" applyAlignment="1" applyProtection="1">
      <alignment vertical="center"/>
      <protection hidden="1"/>
    </xf>
    <xf numFmtId="49" fontId="10" fillId="0" borderId="9" xfId="0" applyNumberFormat="1" applyFont="1" applyBorder="1" applyAlignment="1" applyProtection="1">
      <alignment horizontal="center" vertical="center"/>
      <protection locked="0"/>
    </xf>
    <xf numFmtId="49" fontId="10" fillId="0" borderId="11" xfId="0" applyNumberFormat="1" applyFont="1" applyBorder="1" applyAlignment="1" applyProtection="1">
      <alignment horizontal="center" vertical="center"/>
      <protection locked="0"/>
    </xf>
    <xf numFmtId="49" fontId="18" fillId="0" borderId="9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3" fillId="3" borderId="27" xfId="0" applyFont="1" applyFill="1" applyBorder="1" applyAlignment="1" applyProtection="1">
      <alignment vertical="center"/>
      <protection hidden="1"/>
    </xf>
    <xf numFmtId="0" fontId="3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left" vertical="center"/>
      <protection hidden="1"/>
    </xf>
    <xf numFmtId="49" fontId="19" fillId="0" borderId="0" xfId="0" applyNumberFormat="1" applyFont="1" applyAlignment="1" applyProtection="1">
      <alignment vertical="center"/>
      <protection hidden="1"/>
    </xf>
    <xf numFmtId="14" fontId="26" fillId="3" borderId="28" xfId="0" applyNumberFormat="1" applyFont="1" applyFill="1" applyBorder="1" applyAlignment="1" applyProtection="1">
      <alignment horizontal="center" vertical="center"/>
      <protection hidden="1"/>
    </xf>
    <xf numFmtId="14" fontId="26" fillId="3" borderId="4" xfId="0" applyNumberFormat="1" applyFont="1" applyFill="1" applyBorder="1" applyAlignment="1" applyProtection="1">
      <alignment horizontal="center" vertical="center"/>
      <protection hidden="1"/>
    </xf>
    <xf numFmtId="14" fontId="26" fillId="3" borderId="6" xfId="0" applyNumberFormat="1" applyFont="1" applyFill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2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3" fillId="0" borderId="35" xfId="0" applyFont="1" applyBorder="1" applyAlignment="1" applyProtection="1">
      <alignment vertical="center"/>
      <protection hidden="1"/>
    </xf>
    <xf numFmtId="0" fontId="3" fillId="0" borderId="36" xfId="0" applyFont="1" applyBorder="1" applyAlignment="1" applyProtection="1">
      <alignment vertical="center"/>
      <protection hidden="1"/>
    </xf>
    <xf numFmtId="49" fontId="10" fillId="0" borderId="38" xfId="0" applyNumberFormat="1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49" fontId="10" fillId="0" borderId="23" xfId="0" applyNumberFormat="1" applyFont="1" applyBorder="1" applyAlignment="1" applyProtection="1">
      <alignment horizontal="center" vertical="center"/>
      <protection locked="0"/>
    </xf>
    <xf numFmtId="0" fontId="11" fillId="0" borderId="42" xfId="0" applyFont="1" applyBorder="1" applyAlignment="1" applyProtection="1">
      <alignment vertical="center"/>
      <protection locked="0"/>
    </xf>
    <xf numFmtId="0" fontId="11" fillId="0" borderId="43" xfId="0" applyFont="1" applyBorder="1" applyAlignment="1" applyProtection="1">
      <alignment horizontal="left" vertical="center"/>
      <protection locked="0"/>
    </xf>
    <xf numFmtId="0" fontId="11" fillId="0" borderId="44" xfId="0" applyFont="1" applyBorder="1" applyAlignment="1" applyProtection="1">
      <alignment horizontal="left" vertical="center"/>
      <protection locked="0"/>
    </xf>
    <xf numFmtId="49" fontId="10" fillId="0" borderId="16" xfId="0" applyNumberFormat="1" applyFont="1" applyBorder="1" applyAlignment="1" applyProtection="1">
      <alignment horizontal="center" vertical="center"/>
      <protection locked="0"/>
    </xf>
    <xf numFmtId="0" fontId="15" fillId="0" borderId="38" xfId="0" applyFont="1" applyBorder="1" applyAlignment="1" applyProtection="1">
      <alignment horizontal="center" vertical="center"/>
      <protection locked="0"/>
    </xf>
    <xf numFmtId="49" fontId="10" fillId="0" borderId="45" xfId="0" applyNumberFormat="1" applyFont="1" applyBorder="1" applyAlignment="1" applyProtection="1">
      <alignment horizontal="center" vertical="center"/>
      <protection locked="0"/>
    </xf>
    <xf numFmtId="0" fontId="7" fillId="0" borderId="47" xfId="0" applyFont="1" applyBorder="1" applyAlignment="1">
      <alignment horizontal="center" vertical="center"/>
    </xf>
    <xf numFmtId="0" fontId="3" fillId="11" borderId="16" xfId="0" applyFont="1" applyFill="1" applyBorder="1" applyAlignment="1" applyProtection="1">
      <alignment horizontal="center" vertical="center"/>
      <protection hidden="1"/>
    </xf>
    <xf numFmtId="0" fontId="3" fillId="11" borderId="21" xfId="0" applyFont="1" applyFill="1" applyBorder="1" applyAlignment="1" applyProtection="1">
      <alignment horizontal="center" vertical="center"/>
      <protection hidden="1"/>
    </xf>
    <xf numFmtId="0" fontId="3" fillId="12" borderId="9" xfId="0" applyFont="1" applyFill="1" applyBorder="1" applyAlignment="1" applyProtection="1">
      <alignment horizontal="center" vertical="center"/>
      <protection hidden="1"/>
    </xf>
    <xf numFmtId="0" fontId="3" fillId="12" borderId="23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6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hidden="1"/>
    </xf>
    <xf numFmtId="0" fontId="39" fillId="0" borderId="13" xfId="0" applyFont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40" fillId="0" borderId="39" xfId="0" applyFont="1" applyBorder="1" applyAlignment="1">
      <alignment horizontal="center" vertical="center"/>
    </xf>
    <xf numFmtId="0" fontId="40" fillId="0" borderId="40" xfId="0" applyFont="1" applyBorder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1" fillId="0" borderId="7" xfId="0" applyFont="1" applyBorder="1" applyAlignment="1">
      <alignment horizontal="center" vertical="center"/>
    </xf>
    <xf numFmtId="1" fontId="7" fillId="0" borderId="9" xfId="0" applyNumberFormat="1" applyFont="1" applyBorder="1" applyAlignment="1" applyProtection="1">
      <alignment horizontal="center" vertical="center"/>
      <protection locked="0"/>
    </xf>
    <xf numFmtId="0" fontId="43" fillId="0" borderId="9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" fontId="7" fillId="0" borderId="11" xfId="0" applyNumberFormat="1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19" fillId="0" borderId="0" xfId="0" applyFont="1" applyAlignment="1" applyProtection="1">
      <alignment vertical="center"/>
      <protection locked="0"/>
    </xf>
    <xf numFmtId="0" fontId="46" fillId="0" borderId="16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6" xfId="0" applyFont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1" fontId="43" fillId="0" borderId="4" xfId="0" applyNumberFormat="1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1" fontId="42" fillId="0" borderId="9" xfId="0" applyNumberFormat="1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/>
    </xf>
    <xf numFmtId="0" fontId="40" fillId="0" borderId="48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165" fontId="12" fillId="0" borderId="20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6" fontId="12" fillId="0" borderId="49" xfId="0" applyNumberFormat="1" applyFont="1" applyBorder="1" applyAlignment="1">
      <alignment horizontal="center" vertical="center"/>
    </xf>
    <xf numFmtId="166" fontId="12" fillId="0" borderId="12" xfId="0" applyNumberFormat="1" applyFont="1" applyBorder="1" applyAlignment="1">
      <alignment horizontal="center" vertical="center"/>
    </xf>
    <xf numFmtId="166" fontId="12" fillId="0" borderId="38" xfId="0" applyNumberFormat="1" applyFont="1" applyBorder="1" applyAlignment="1">
      <alignment horizontal="center" vertical="center"/>
    </xf>
    <xf numFmtId="14" fontId="3" fillId="0" borderId="0" xfId="0" applyNumberFormat="1" applyFont="1"/>
    <xf numFmtId="0" fontId="9" fillId="0" borderId="0" xfId="0" applyFont="1" applyAlignment="1">
      <alignment horizontal="center" vertical="center"/>
    </xf>
    <xf numFmtId="0" fontId="6" fillId="0" borderId="0" xfId="0" applyFont="1" applyProtection="1">
      <protection hidden="1"/>
    </xf>
    <xf numFmtId="0" fontId="49" fillId="6" borderId="2" xfId="0" applyFont="1" applyFill="1" applyBorder="1" applyAlignment="1" applyProtection="1">
      <alignment horizontal="center" vertical="center"/>
      <protection locked="0"/>
    </xf>
    <xf numFmtId="14" fontId="6" fillId="0" borderId="20" xfId="0" applyNumberFormat="1" applyFont="1" applyBorder="1" applyAlignment="1">
      <alignment horizontal="center" vertical="center"/>
    </xf>
    <xf numFmtId="14" fontId="50" fillId="0" borderId="16" xfId="0" applyNumberFormat="1" applyFont="1" applyBorder="1" applyAlignment="1">
      <alignment horizontal="center" vertical="center"/>
    </xf>
    <xf numFmtId="14" fontId="51" fillId="0" borderId="16" xfId="0" applyNumberFormat="1" applyFont="1" applyBorder="1" applyAlignment="1">
      <alignment horizontal="center" vertical="center"/>
    </xf>
    <xf numFmtId="14" fontId="52" fillId="0" borderId="16" xfId="0" applyNumberFormat="1" applyFont="1" applyBorder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50" fillId="0" borderId="23" xfId="0" applyNumberFormat="1" applyFont="1" applyBorder="1" applyAlignment="1">
      <alignment horizontal="center" vertical="center"/>
    </xf>
    <xf numFmtId="14" fontId="51" fillId="0" borderId="23" xfId="0" applyNumberFormat="1" applyFont="1" applyBorder="1" applyAlignment="1">
      <alignment horizontal="center" vertical="center"/>
    </xf>
    <xf numFmtId="14" fontId="52" fillId="0" borderId="23" xfId="0" applyNumberFormat="1" applyFont="1" applyBorder="1" applyAlignment="1">
      <alignment horizontal="center" vertical="center"/>
    </xf>
    <xf numFmtId="0" fontId="9" fillId="0" borderId="0" xfId="0" applyFont="1"/>
    <xf numFmtId="0" fontId="9" fillId="0" borderId="0" xfId="0" applyFon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locked="0"/>
    </xf>
    <xf numFmtId="49" fontId="19" fillId="0" borderId="0" xfId="0" applyNumberFormat="1" applyFont="1" applyAlignment="1" applyProtection="1">
      <alignment horizontal="center" vertical="center"/>
      <protection locked="0"/>
    </xf>
    <xf numFmtId="49" fontId="3" fillId="0" borderId="20" xfId="0" applyNumberFormat="1" applyFont="1" applyBorder="1" applyAlignment="1" applyProtection="1">
      <alignment vertical="center"/>
      <protection hidden="1"/>
    </xf>
    <xf numFmtId="49" fontId="3" fillId="0" borderId="3" xfId="0" applyNumberFormat="1" applyFont="1" applyBorder="1" applyAlignment="1" applyProtection="1">
      <alignment vertical="center"/>
      <protection hidden="1"/>
    </xf>
    <xf numFmtId="49" fontId="3" fillId="0" borderId="5" xfId="0" applyNumberFormat="1" applyFont="1" applyBorder="1" applyAlignment="1" applyProtection="1">
      <alignment vertical="center"/>
      <protection hidden="1"/>
    </xf>
    <xf numFmtId="0" fontId="3" fillId="11" borderId="9" xfId="0" applyFont="1" applyFill="1" applyBorder="1" applyAlignment="1" applyProtection="1">
      <alignment horizontal="center" vertical="center"/>
      <protection hidden="1"/>
    </xf>
    <xf numFmtId="0" fontId="3" fillId="11" borderId="4" xfId="0" applyFont="1" applyFill="1" applyBorder="1" applyAlignment="1" applyProtection="1">
      <alignment horizontal="center" vertical="center"/>
      <protection hidden="1"/>
    </xf>
    <xf numFmtId="0" fontId="3" fillId="12" borderId="4" xfId="0" applyFont="1" applyFill="1" applyBorder="1" applyAlignment="1" applyProtection="1">
      <alignment horizontal="center" vertical="center"/>
      <protection hidden="1"/>
    </xf>
    <xf numFmtId="0" fontId="3" fillId="12" borderId="6" xfId="0" applyFont="1" applyFill="1" applyBorder="1" applyAlignment="1" applyProtection="1">
      <alignment horizontal="center" vertical="center"/>
      <protection hidden="1"/>
    </xf>
    <xf numFmtId="49" fontId="55" fillId="0" borderId="46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49" fillId="0" borderId="0" xfId="0" applyFont="1" applyAlignment="1" applyProtection="1">
      <alignment vertical="center"/>
      <protection locked="0"/>
    </xf>
    <xf numFmtId="0" fontId="56" fillId="10" borderId="0" xfId="0" applyFont="1" applyFill="1" applyAlignment="1">
      <alignment vertical="center"/>
    </xf>
    <xf numFmtId="0" fontId="56" fillId="10" borderId="30" xfId="0" applyFont="1" applyFill="1" applyBorder="1" applyAlignment="1">
      <alignment vertical="center"/>
    </xf>
    <xf numFmtId="0" fontId="56" fillId="10" borderId="31" xfId="0" applyFont="1" applyFill="1" applyBorder="1" applyAlignment="1">
      <alignment vertical="center"/>
    </xf>
    <xf numFmtId="0" fontId="56" fillId="10" borderId="32" xfId="0" applyFont="1" applyFill="1" applyBorder="1" applyAlignment="1">
      <alignment vertical="center"/>
    </xf>
    <xf numFmtId="0" fontId="56" fillId="10" borderId="14" xfId="0" applyFont="1" applyFill="1" applyBorder="1" applyAlignment="1">
      <alignment vertical="center"/>
    </xf>
    <xf numFmtId="0" fontId="56" fillId="10" borderId="22" xfId="0" applyFont="1" applyFill="1" applyBorder="1" applyAlignment="1">
      <alignment vertical="center"/>
    </xf>
    <xf numFmtId="0" fontId="13" fillId="10" borderId="14" xfId="0" applyFont="1" applyFill="1" applyBorder="1" applyAlignment="1">
      <alignment vertical="center"/>
    </xf>
    <xf numFmtId="0" fontId="56" fillId="10" borderId="33" xfId="0" applyFont="1" applyFill="1" applyBorder="1" applyAlignment="1">
      <alignment vertical="center"/>
    </xf>
    <xf numFmtId="0" fontId="56" fillId="10" borderId="29" xfId="0" applyFont="1" applyFill="1" applyBorder="1" applyAlignment="1">
      <alignment vertical="center"/>
    </xf>
    <xf numFmtId="0" fontId="56" fillId="10" borderId="34" xfId="0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19" fillId="0" borderId="42" xfId="0" applyFont="1" applyBorder="1" applyAlignment="1" applyProtection="1">
      <alignment horizontal="center" vertical="center"/>
      <protection locked="0"/>
    </xf>
    <xf numFmtId="0" fontId="19" fillId="0" borderId="43" xfId="0" applyFont="1" applyBorder="1" applyAlignment="1" applyProtection="1">
      <alignment horizontal="center" vertical="center"/>
      <protection locked="0"/>
    </xf>
    <xf numFmtId="0" fontId="19" fillId="0" borderId="44" xfId="0" applyFont="1" applyBorder="1" applyAlignment="1" applyProtection="1">
      <alignment horizontal="center" vertical="center"/>
      <protection locked="0"/>
    </xf>
    <xf numFmtId="1" fontId="19" fillId="0" borderId="3" xfId="0" applyNumberFormat="1" applyFont="1" applyBorder="1" applyAlignment="1">
      <alignment horizontal="center" vertical="center"/>
    </xf>
    <xf numFmtId="1" fontId="19" fillId="0" borderId="9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12" fillId="0" borderId="63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" fontId="26" fillId="0" borderId="4" xfId="0" applyNumberFormat="1" applyFont="1" applyBorder="1" applyAlignment="1">
      <alignment horizontal="center" vertical="center"/>
    </xf>
    <xf numFmtId="1" fontId="26" fillId="0" borderId="6" xfId="0" applyNumberFormat="1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166" fontId="59" fillId="0" borderId="0" xfId="0" applyNumberFormat="1" applyFont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35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1" fontId="19" fillId="0" borderId="0" xfId="0" applyNumberFormat="1" applyFont="1" applyAlignment="1" applyProtection="1">
      <alignment vertical="center"/>
      <protection hidden="1"/>
    </xf>
    <xf numFmtId="0" fontId="24" fillId="0" borderId="0" xfId="0" applyFont="1" applyAlignment="1" applyProtection="1">
      <alignment horizontal="left" vertical="center"/>
      <protection hidden="1"/>
    </xf>
    <xf numFmtId="0" fontId="34" fillId="0" borderId="0" xfId="0" applyFont="1" applyAlignment="1" applyProtection="1">
      <alignment horizontal="left" vertical="center"/>
      <protection hidden="1"/>
    </xf>
    <xf numFmtId="49" fontId="19" fillId="0" borderId="0" xfId="0" applyNumberFormat="1" applyFont="1" applyAlignment="1" applyProtection="1">
      <alignment horizontal="left" vertical="center"/>
      <protection hidden="1"/>
    </xf>
    <xf numFmtId="0" fontId="25" fillId="0" borderId="29" xfId="0" applyFont="1" applyBorder="1" applyAlignment="1" applyProtection="1">
      <alignment horizontal="left" vertical="center"/>
      <protection hidden="1"/>
    </xf>
    <xf numFmtId="0" fontId="34" fillId="0" borderId="29" xfId="0" applyFont="1" applyBorder="1" applyAlignment="1" applyProtection="1">
      <alignment horizontal="left" vertical="center"/>
      <protection hidden="1"/>
    </xf>
    <xf numFmtId="49" fontId="19" fillId="0" borderId="29" xfId="0" applyNumberFormat="1" applyFont="1" applyBorder="1" applyAlignment="1" applyProtection="1">
      <alignment horizontal="left" vertical="center"/>
      <protection hidden="1"/>
    </xf>
    <xf numFmtId="0" fontId="19" fillId="0" borderId="29" xfId="0" applyFont="1" applyBorder="1" applyAlignment="1" applyProtection="1">
      <alignment horizontal="left" vertical="center"/>
      <protection hidden="1"/>
    </xf>
    <xf numFmtId="0" fontId="3" fillId="0" borderId="29" xfId="0" applyFont="1" applyBorder="1" applyAlignment="1" applyProtection="1">
      <alignment horizontal="left" vertical="center"/>
      <protection hidden="1"/>
    </xf>
    <xf numFmtId="0" fontId="58" fillId="0" borderId="0" xfId="0" applyFont="1" applyAlignment="1" applyProtection="1">
      <alignment vertical="center"/>
      <protection hidden="1"/>
    </xf>
    <xf numFmtId="14" fontId="24" fillId="0" borderId="0" xfId="0" applyNumberFormat="1" applyFont="1" applyAlignment="1" applyProtection="1">
      <alignment vertical="center"/>
      <protection locked="0" hidden="1"/>
    </xf>
    <xf numFmtId="0" fontId="3" fillId="0" borderId="0" xfId="0" applyFont="1" applyProtection="1">
      <protection locked="0" hidden="1"/>
    </xf>
    <xf numFmtId="14" fontId="25" fillId="0" borderId="0" xfId="0" applyNumberFormat="1" applyFont="1" applyAlignment="1" applyProtection="1">
      <alignment vertical="center"/>
      <protection locked="0" hidden="1"/>
    </xf>
    <xf numFmtId="0" fontId="19" fillId="0" borderId="31" xfId="0" applyFont="1" applyBorder="1" applyAlignment="1" applyProtection="1">
      <alignment horizontal="center" vertical="center"/>
      <protection locked="0"/>
    </xf>
    <xf numFmtId="1" fontId="19" fillId="0" borderId="0" xfId="0" applyNumberFormat="1" applyFont="1" applyAlignment="1" applyProtection="1">
      <alignment horizontal="left" vertical="center"/>
      <protection locked="0"/>
    </xf>
    <xf numFmtId="49" fontId="19" fillId="0" borderId="0" xfId="0" applyNumberFormat="1" applyFont="1" applyAlignment="1" applyProtection="1">
      <alignment vertical="center"/>
      <protection locked="0"/>
    </xf>
    <xf numFmtId="0" fontId="24" fillId="16" borderId="9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24" fillId="15" borderId="9" xfId="0" applyFont="1" applyFill="1" applyBorder="1" applyAlignment="1" applyProtection="1">
      <alignment horizontal="center" vertical="center"/>
      <protection locked="0"/>
    </xf>
    <xf numFmtId="0" fontId="48" fillId="13" borderId="9" xfId="0" applyFont="1" applyFill="1" applyBorder="1" applyAlignment="1" applyProtection="1">
      <alignment horizontal="center" vertical="center"/>
      <protection locked="0"/>
    </xf>
    <xf numFmtId="0" fontId="24" fillId="18" borderId="9" xfId="0" applyFont="1" applyFill="1" applyBorder="1" applyAlignment="1" applyProtection="1">
      <alignment horizontal="center" vertical="center"/>
      <protection locked="0"/>
    </xf>
    <xf numFmtId="0" fontId="53" fillId="14" borderId="9" xfId="0" applyFont="1" applyFill="1" applyBorder="1" applyAlignment="1" applyProtection="1">
      <alignment horizontal="center" vertical="center"/>
      <protection locked="0"/>
    </xf>
    <xf numFmtId="0" fontId="26" fillId="8" borderId="9" xfId="0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/>
      <protection locked="0"/>
    </xf>
    <xf numFmtId="49" fontId="3" fillId="0" borderId="37" xfId="0" applyNumberFormat="1" applyFont="1" applyBorder="1" applyAlignment="1" applyProtection="1">
      <alignment vertical="center"/>
      <protection locked="0" hidden="1"/>
    </xf>
    <xf numFmtId="49" fontId="3" fillId="0" borderId="36" xfId="0" applyNumberFormat="1" applyFont="1" applyBorder="1" applyAlignment="1" applyProtection="1">
      <alignment vertical="center"/>
      <protection locked="0" hidden="1"/>
    </xf>
    <xf numFmtId="49" fontId="3" fillId="0" borderId="17" xfId="0" applyNumberFormat="1" applyFont="1" applyBorder="1" applyAlignment="1" applyProtection="1">
      <alignment vertical="center"/>
      <protection locked="0" hidden="1"/>
    </xf>
    <xf numFmtId="0" fontId="20" fillId="9" borderId="24" xfId="0" applyFont="1" applyFill="1" applyBorder="1" applyAlignment="1" applyProtection="1">
      <alignment vertical="center"/>
      <protection hidden="1"/>
    </xf>
    <xf numFmtId="1" fontId="3" fillId="0" borderId="56" xfId="0" applyNumberFormat="1" applyFont="1" applyBorder="1" applyAlignment="1">
      <alignment horizontal="center" vertical="center"/>
    </xf>
    <xf numFmtId="1" fontId="46" fillId="0" borderId="9" xfId="0" applyNumberFormat="1" applyFont="1" applyBorder="1" applyAlignment="1">
      <alignment horizontal="center" vertical="center"/>
    </xf>
    <xf numFmtId="1" fontId="47" fillId="0" borderId="9" xfId="0" applyNumberFormat="1" applyFont="1" applyBorder="1" applyAlignment="1">
      <alignment horizontal="center" vertical="center"/>
    </xf>
    <xf numFmtId="1" fontId="60" fillId="0" borderId="9" xfId="0" applyNumberFormat="1" applyFont="1" applyBorder="1" applyAlignment="1">
      <alignment horizontal="center" vertical="center"/>
    </xf>
    <xf numFmtId="1" fontId="46" fillId="0" borderId="4" xfId="0" applyNumberFormat="1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/>
    </xf>
    <xf numFmtId="1" fontId="46" fillId="0" borderId="12" xfId="0" applyNumberFormat="1" applyFont="1" applyBorder="1" applyAlignment="1">
      <alignment horizontal="center" vertical="center"/>
    </xf>
    <xf numFmtId="1" fontId="47" fillId="0" borderId="12" xfId="0" applyNumberFormat="1" applyFont="1" applyBorder="1" applyAlignment="1">
      <alignment horizontal="center" vertical="center"/>
    </xf>
    <xf numFmtId="1" fontId="46" fillId="0" borderId="50" xfId="0" applyNumberFormat="1" applyFont="1" applyBorder="1" applyAlignment="1">
      <alignment horizontal="center" vertical="center"/>
    </xf>
    <xf numFmtId="0" fontId="16" fillId="0" borderId="0" xfId="0" applyFont="1"/>
    <xf numFmtId="0" fontId="22" fillId="0" borderId="0" xfId="0" applyFont="1"/>
    <xf numFmtId="0" fontId="22" fillId="0" borderId="0" xfId="0" applyFont="1" applyAlignment="1">
      <alignment horizontal="left"/>
    </xf>
    <xf numFmtId="0" fontId="17" fillId="0" borderId="0" xfId="0" applyFont="1" applyAlignment="1">
      <alignment vertical="top"/>
    </xf>
    <xf numFmtId="0" fontId="23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10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49" fontId="32" fillId="0" borderId="0" xfId="0" applyNumberFormat="1" applyFont="1" applyAlignment="1">
      <alignment vertical="center"/>
    </xf>
    <xf numFmtId="0" fontId="10" fillId="0" borderId="0" xfId="0" applyFont="1"/>
    <xf numFmtId="0" fontId="33" fillId="0" borderId="0" xfId="0" applyFont="1"/>
    <xf numFmtId="0" fontId="37" fillId="0" borderId="0" xfId="0" applyFont="1"/>
    <xf numFmtId="0" fontId="37" fillId="0" borderId="0" xfId="0" applyFont="1" applyAlignment="1">
      <alignment horizontal="center"/>
    </xf>
    <xf numFmtId="0" fontId="32" fillId="0" borderId="0" xfId="0" applyFont="1"/>
    <xf numFmtId="0" fontId="19" fillId="0" borderId="0" xfId="0" applyFont="1"/>
    <xf numFmtId="167" fontId="32" fillId="0" borderId="0" xfId="0" applyNumberFormat="1" applyFont="1" applyAlignment="1">
      <alignment horizontal="left"/>
    </xf>
    <xf numFmtId="49" fontId="10" fillId="0" borderId="65" xfId="0" applyNumberFormat="1" applyFont="1" applyBorder="1" applyAlignment="1" applyProtection="1">
      <alignment horizontal="center" vertical="center"/>
      <protection locked="0"/>
    </xf>
    <xf numFmtId="49" fontId="10" fillId="0" borderId="56" xfId="0" applyNumberFormat="1" applyFont="1" applyBorder="1" applyAlignment="1" applyProtection="1">
      <alignment horizontal="center" vertical="center"/>
      <protection locked="0"/>
    </xf>
    <xf numFmtId="49" fontId="10" fillId="0" borderId="66" xfId="0" applyNumberFormat="1" applyFont="1" applyBorder="1" applyAlignment="1" applyProtection="1">
      <alignment horizontal="center" vertical="center"/>
      <protection locked="0"/>
    </xf>
    <xf numFmtId="0" fontId="11" fillId="0" borderId="43" xfId="0" applyFont="1" applyBorder="1" applyAlignmen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center"/>
      <protection locked="0"/>
    </xf>
    <xf numFmtId="49" fontId="19" fillId="0" borderId="0" xfId="0" applyNumberFormat="1" applyFont="1" applyAlignment="1" applyProtection="1">
      <alignment horizontal="left" vertical="center"/>
      <protection locked="0"/>
    </xf>
    <xf numFmtId="49" fontId="26" fillId="0" borderId="0" xfId="0" applyNumberFormat="1" applyFont="1" applyAlignment="1" applyProtection="1">
      <alignment horizontal="left" vertical="center"/>
      <protection locked="0"/>
    </xf>
    <xf numFmtId="0" fontId="25" fillId="0" borderId="29" xfId="0" applyFont="1" applyBorder="1" applyAlignment="1" applyProtection="1">
      <alignment horizontal="left" vertical="center"/>
      <protection locked="0"/>
    </xf>
    <xf numFmtId="0" fontId="34" fillId="0" borderId="29" xfId="0" applyFont="1" applyBorder="1" applyAlignment="1" applyProtection="1">
      <alignment horizontal="left" vertical="center"/>
      <protection locked="0"/>
    </xf>
    <xf numFmtId="49" fontId="19" fillId="0" borderId="29" xfId="0" applyNumberFormat="1" applyFont="1" applyBorder="1" applyAlignment="1" applyProtection="1">
      <alignment horizontal="left" vertical="center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48" fillId="17" borderId="9" xfId="0" applyFont="1" applyFill="1" applyBorder="1" applyAlignment="1" applyProtection="1">
      <alignment horizontal="center" vertical="center"/>
      <protection locked="0"/>
    </xf>
    <xf numFmtId="0" fontId="61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5" fillId="7" borderId="2" xfId="0" applyFont="1" applyFill="1" applyBorder="1" applyAlignment="1" applyProtection="1">
      <alignment horizontal="center" vertical="center"/>
      <protection hidden="1"/>
    </xf>
    <xf numFmtId="0" fontId="49" fillId="6" borderId="24" xfId="0" applyFont="1" applyFill="1" applyBorder="1" applyAlignment="1" applyProtection="1">
      <alignment horizontal="center" vertical="center"/>
      <protection locked="0"/>
    </xf>
    <xf numFmtId="0" fontId="49" fillId="6" borderId="25" xfId="0" applyFont="1" applyFill="1" applyBorder="1" applyAlignment="1" applyProtection="1">
      <alignment horizontal="center" vertical="center"/>
      <protection locked="0"/>
    </xf>
    <xf numFmtId="0" fontId="49" fillId="6" borderId="26" xfId="0" applyFont="1" applyFill="1" applyBorder="1" applyAlignment="1" applyProtection="1">
      <alignment horizontal="center" vertical="center"/>
      <protection locked="0"/>
    </xf>
    <xf numFmtId="0" fontId="5" fillId="7" borderId="24" xfId="0" applyFont="1" applyFill="1" applyBorder="1" applyAlignment="1">
      <alignment horizontal="center" vertical="center"/>
    </xf>
    <xf numFmtId="0" fontId="5" fillId="7" borderId="25" xfId="0" applyFont="1" applyFill="1" applyBorder="1" applyAlignment="1">
      <alignment horizontal="center" vertical="center"/>
    </xf>
    <xf numFmtId="0" fontId="5" fillId="7" borderId="26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top"/>
    </xf>
    <xf numFmtId="0" fontId="30" fillId="0" borderId="0" xfId="0" applyFont="1" applyAlignment="1">
      <alignment horizontal="center" vertical="center"/>
    </xf>
    <xf numFmtId="14" fontId="6" fillId="0" borderId="19" xfId="0" applyNumberFormat="1" applyFont="1" applyBorder="1" applyAlignment="1">
      <alignment horizontal="left"/>
    </xf>
    <xf numFmtId="14" fontId="6" fillId="0" borderId="41" xfId="0" applyNumberFormat="1" applyFont="1" applyBorder="1" applyAlignment="1">
      <alignment horizontal="left"/>
    </xf>
    <xf numFmtId="14" fontId="6" fillId="0" borderId="57" xfId="0" applyNumberFormat="1" applyFont="1" applyBorder="1" applyAlignment="1">
      <alignment horizontal="center" vertical="center"/>
    </xf>
    <xf numFmtId="14" fontId="6" fillId="0" borderId="58" xfId="0" applyNumberFormat="1" applyFont="1" applyBorder="1" applyAlignment="1">
      <alignment horizontal="center" vertical="center"/>
    </xf>
    <xf numFmtId="14" fontId="6" fillId="8" borderId="59" xfId="0" applyNumberFormat="1" applyFont="1" applyFill="1" applyBorder="1" applyAlignment="1">
      <alignment horizontal="center" vertical="center"/>
    </xf>
    <xf numFmtId="14" fontId="6" fillId="8" borderId="60" xfId="0" applyNumberFormat="1" applyFont="1" applyFill="1" applyBorder="1" applyAlignment="1">
      <alignment horizontal="center" vertical="center"/>
    </xf>
    <xf numFmtId="14" fontId="6" fillId="0" borderId="61" xfId="0" applyNumberFormat="1" applyFont="1" applyBorder="1" applyAlignment="1">
      <alignment horizontal="center" vertical="center"/>
    </xf>
    <xf numFmtId="14" fontId="6" fillId="0" borderId="62" xfId="0" applyNumberFormat="1" applyFont="1" applyBorder="1" applyAlignment="1">
      <alignment horizontal="center" vertical="center"/>
    </xf>
    <xf numFmtId="14" fontId="50" fillId="0" borderId="61" xfId="0" applyNumberFormat="1" applyFont="1" applyBorder="1" applyAlignment="1">
      <alignment horizontal="center" vertical="center"/>
    </xf>
    <xf numFmtId="14" fontId="50" fillId="0" borderId="62" xfId="0" applyNumberFormat="1" applyFont="1" applyBorder="1" applyAlignment="1">
      <alignment horizontal="center" vertical="center"/>
    </xf>
    <xf numFmtId="0" fontId="26" fillId="0" borderId="0" xfId="0" applyFont="1" applyAlignment="1" applyProtection="1">
      <alignment horizontal="left" vertical="center"/>
      <protection hidden="1"/>
    </xf>
    <xf numFmtId="14" fontId="58" fillId="0" borderId="10" xfId="0" applyNumberFormat="1" applyFont="1" applyBorder="1" applyAlignment="1" applyProtection="1">
      <alignment horizontal="left" vertical="center"/>
      <protection locked="0"/>
    </xf>
    <xf numFmtId="14" fontId="25" fillId="0" borderId="54" xfId="0" applyNumberFormat="1" applyFont="1" applyBorder="1" applyAlignment="1" applyProtection="1">
      <alignment horizontal="left" vertical="center"/>
      <protection locked="0"/>
    </xf>
    <xf numFmtId="14" fontId="25" fillId="0" borderId="10" xfId="0" applyNumberFormat="1" applyFont="1" applyBorder="1" applyAlignment="1" applyProtection="1">
      <alignment horizontal="left" vertical="center"/>
      <protection locked="0"/>
    </xf>
    <xf numFmtId="0" fontId="25" fillId="0" borderId="10" xfId="0" applyFont="1" applyBorder="1" applyAlignment="1" applyProtection="1">
      <alignment horizontal="left" vertical="center"/>
      <protection locked="0"/>
    </xf>
    <xf numFmtId="0" fontId="19" fillId="0" borderId="10" xfId="0" applyFont="1" applyBorder="1" applyAlignment="1" applyProtection="1">
      <alignment horizontal="left" vertical="center"/>
      <protection hidden="1"/>
    </xf>
    <xf numFmtId="0" fontId="25" fillId="0" borderId="54" xfId="0" applyFont="1" applyBorder="1" applyAlignment="1" applyProtection="1">
      <alignment horizontal="left" vertical="center"/>
      <protection locked="0"/>
    </xf>
    <xf numFmtId="14" fontId="24" fillId="0" borderId="10" xfId="0" applyNumberFormat="1" applyFont="1" applyBorder="1" applyAlignment="1" applyProtection="1">
      <alignment horizontal="left" vertical="center"/>
      <protection hidden="1"/>
    </xf>
    <xf numFmtId="0" fontId="24" fillId="0" borderId="10" xfId="0" applyFont="1" applyBorder="1" applyAlignment="1" applyProtection="1">
      <alignment horizontal="left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locked="0"/>
    </xf>
    <xf numFmtId="0" fontId="10" fillId="8" borderId="16" xfId="0" applyFont="1" applyFill="1" applyBorder="1" applyAlignment="1" applyProtection="1">
      <alignment horizontal="center" vertical="center"/>
      <protection locked="0"/>
    </xf>
    <xf numFmtId="0" fontId="10" fillId="8" borderId="21" xfId="0" applyFont="1" applyFill="1" applyBorder="1" applyAlignment="1" applyProtection="1">
      <alignment horizontal="center" vertical="center"/>
      <protection locked="0"/>
    </xf>
    <xf numFmtId="0" fontId="10" fillId="8" borderId="5" xfId="0" applyFont="1" applyFill="1" applyBorder="1" applyAlignment="1" applyProtection="1">
      <alignment horizontal="center" vertical="center"/>
      <protection locked="0"/>
    </xf>
    <xf numFmtId="0" fontId="10" fillId="8" borderId="23" xfId="0" applyFont="1" applyFill="1" applyBorder="1" applyAlignment="1" applyProtection="1">
      <alignment horizontal="center" vertical="center"/>
      <protection locked="0"/>
    </xf>
    <xf numFmtId="0" fontId="10" fillId="8" borderId="6" xfId="0" applyFont="1" applyFill="1" applyBorder="1" applyAlignment="1" applyProtection="1">
      <alignment horizontal="center" vertical="center"/>
      <protection locked="0"/>
    </xf>
    <xf numFmtId="0" fontId="20" fillId="9" borderId="24" xfId="0" applyFont="1" applyFill="1" applyBorder="1" applyAlignment="1" applyProtection="1">
      <alignment horizontal="center" vertical="center"/>
      <protection hidden="1"/>
    </xf>
    <xf numFmtId="0" fontId="20" fillId="9" borderId="25" xfId="0" applyFont="1" applyFill="1" applyBorder="1" applyAlignment="1" applyProtection="1">
      <alignment horizontal="center" vertical="center"/>
      <protection hidden="1"/>
    </xf>
    <xf numFmtId="0" fontId="20" fillId="9" borderId="26" xfId="0" applyFont="1" applyFill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16" fillId="0" borderId="33" xfId="0" applyFont="1" applyBorder="1" applyAlignment="1" applyProtection="1">
      <alignment horizontal="center" vertical="center"/>
      <protection hidden="1"/>
    </xf>
    <xf numFmtId="0" fontId="16" fillId="0" borderId="29" xfId="0" applyFont="1" applyBorder="1" applyAlignment="1" applyProtection="1">
      <alignment horizontal="center" vertical="center"/>
      <protection hidden="1"/>
    </xf>
    <xf numFmtId="0" fontId="16" fillId="8" borderId="27" xfId="0" applyFont="1" applyFill="1" applyBorder="1" applyAlignment="1" applyProtection="1">
      <alignment horizontal="center" vertical="center"/>
      <protection locked="0" hidden="1"/>
    </xf>
    <xf numFmtId="0" fontId="16" fillId="8" borderId="13" xfId="0" applyFont="1" applyFill="1" applyBorder="1" applyAlignment="1" applyProtection="1">
      <alignment horizontal="center" vertical="center"/>
      <protection locked="0" hidden="1"/>
    </xf>
    <xf numFmtId="0" fontId="16" fillId="8" borderId="2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 applyAlignment="1" applyProtection="1">
      <alignment horizontal="center" vertical="center"/>
      <protection hidden="1"/>
    </xf>
    <xf numFmtId="0" fontId="16" fillId="8" borderId="3" xfId="0" applyFont="1" applyFill="1" applyBorder="1" applyAlignment="1" applyProtection="1">
      <alignment horizontal="center" vertical="center"/>
      <protection locked="0" hidden="1"/>
    </xf>
    <xf numFmtId="0" fontId="16" fillId="8" borderId="9" xfId="0" applyFont="1" applyFill="1" applyBorder="1" applyAlignment="1" applyProtection="1">
      <alignment horizontal="center" vertical="center"/>
      <protection locked="0" hidden="1"/>
    </xf>
    <xf numFmtId="0" fontId="16" fillId="8" borderId="4" xfId="0" applyFont="1" applyFill="1" applyBorder="1" applyAlignment="1" applyProtection="1">
      <alignment horizontal="center" vertical="center"/>
      <protection locked="0" hidden="1"/>
    </xf>
    <xf numFmtId="0" fontId="16" fillId="8" borderId="5" xfId="0" applyFont="1" applyFill="1" applyBorder="1" applyAlignment="1" applyProtection="1">
      <alignment horizontal="center" vertical="center"/>
      <protection locked="0" hidden="1"/>
    </xf>
    <xf numFmtId="0" fontId="16" fillId="8" borderId="23" xfId="0" applyFont="1" applyFill="1" applyBorder="1" applyAlignment="1" applyProtection="1">
      <alignment horizontal="center" vertical="center"/>
      <protection locked="0" hidden="1"/>
    </xf>
    <xf numFmtId="0" fontId="16" fillId="8" borderId="6" xfId="0" applyFont="1" applyFill="1" applyBorder="1" applyAlignment="1" applyProtection="1">
      <alignment horizontal="center" vertical="center"/>
      <protection locked="0" hidden="1"/>
    </xf>
  </cellXfs>
  <cellStyles count="9">
    <cellStyle name="BgrGreenTextWhite" xfId="4" xr:uid="{00000000-0005-0000-0000-000000000000}"/>
    <cellStyle name="ES_WhiteOnGreen" xfId="8" xr:uid="{00000000-0005-0000-0000-000001000000}"/>
    <cellStyle name="Notiz 2" xfId="1" xr:uid="{00000000-0005-0000-0000-000002000000}"/>
    <cellStyle name="Prozent 2" xfId="2" xr:uid="{00000000-0005-0000-0000-000003000000}"/>
    <cellStyle name="Standard" xfId="0" builtinId="0"/>
    <cellStyle name="Standard 2" xfId="3" xr:uid="{00000000-0005-0000-0000-000005000000}"/>
    <cellStyle name="WeissAufGruen" xfId="5" xr:uid="{00000000-0005-0000-0000-000006000000}"/>
    <cellStyle name="WhiteOnGreen" xfId="6" xr:uid="{00000000-0005-0000-0000-000007000000}"/>
    <cellStyle name="WhiteOnRed" xfId="7" xr:uid="{00000000-0005-0000-0000-000008000000}"/>
  </cellStyles>
  <dxfs count="707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9300"/>
      </font>
    </dxf>
    <dxf>
      <font>
        <color theme="0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 patternType="solid">
          <bgColor theme="9" tint="0.39994506668294322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strike val="0"/>
        <color theme="0"/>
        <name val="Arial (Textkörper)"/>
      </font>
      <fill>
        <patternFill>
          <bgColor rgb="FFFF0000"/>
        </patternFill>
      </fill>
    </dxf>
    <dxf>
      <alignment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border diagonalUp="0" diagonalDown="0">
        <left/>
        <right/>
        <bottom/>
      </border>
    </dxf>
    <dxf>
      <font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D4"/>
      <rgbColor rgb="FFFFFF00"/>
      <rgbColor rgb="FFFF00FF"/>
      <rgbColor rgb="FF00FFFF"/>
      <rgbColor rgb="FF800000"/>
      <rgbColor rgb="FF00A933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F2F2F2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DEADA"/>
      <rgbColor rgb="FFD9D9D9"/>
      <rgbColor rgb="FFE8F2A1"/>
      <rgbColor rgb="FF99CCFF"/>
      <rgbColor rgb="FFFF99CC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300"/>
      <color rgb="FFFDD5B6"/>
      <color rgb="FFD37A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1114507</xdr:colOff>
      <xdr:row>83</xdr:row>
      <xdr:rowOff>251760</xdr:rowOff>
    </xdr:from>
    <xdr:to>
      <xdr:col>18</xdr:col>
      <xdr:colOff>0</xdr:colOff>
      <xdr:row>83</xdr:row>
      <xdr:rowOff>252120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Freihand 1">
              <a:extLst>
                <a:ext uri="{FF2B5EF4-FFF2-40B4-BE49-F238E27FC236}">
                  <a16:creationId xmlns:a16="http://schemas.microsoft.com/office/drawing/2014/main" id="{62BAE0BF-A2E3-1197-7690-C7BE9019164C}"/>
                </a:ext>
              </a:extLst>
            </xdr14:cNvPr>
            <xdr14:cNvContentPartPr/>
          </xdr14:nvContentPartPr>
          <xdr14:nvPr macro=""/>
          <xdr14:xfrm>
            <a:off x="24209831" y="31000701"/>
            <a:ext cx="360" cy="360"/>
          </xdr14:xfrm>
        </xdr:contentPart>
      </mc:Choice>
      <mc:Fallback xmlns="">
        <xdr:pic>
          <xdr:nvPicPr>
            <xdr:cNvPr id="2" name="Freihand 1">
              <a:extLst>
                <a:ext uri="{FF2B5EF4-FFF2-40B4-BE49-F238E27FC236}">
                  <a16:creationId xmlns:a16="http://schemas.microsoft.com/office/drawing/2014/main" id="{62BAE0BF-A2E3-1197-7690-C7BE9019164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203711" y="30994581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AA94956-5C9B-2D40-BB2E-43B4122EA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2904" y="0"/>
          <a:ext cx="2737910" cy="1392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8989156-D2DA-43B2-80AD-FE4F83158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85C4671-F5F2-4161-9E8A-5A1E7FD14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4074FB7-42DD-4235-949D-7D81EF331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C99D993-42F2-42A7-A3ED-9D3A93B64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CE446A9-6F6F-440D-A3B9-AF3E6AE27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B3F8B4D-62B3-4E1D-964A-038E7564D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F4664EC8-3934-41F1-A6CB-1991C765C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6B24B301-8DA9-43D7-83FC-98D1AD410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DF387E74-13FB-4A0B-A9B7-1DC29A8FA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743A057-A2C4-4A95-A8DF-A83E5DA75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400404</xdr:colOff>
      <xdr:row>0</xdr:row>
      <xdr:rowOff>0</xdr:rowOff>
    </xdr:from>
    <xdr:to>
      <xdr:col>35</xdr:col>
      <xdr:colOff>225780</xdr:colOff>
      <xdr:row>3</xdr:row>
      <xdr:rowOff>84575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F849118-0959-4C13-884E-8745863AE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6129" y="0"/>
          <a:ext cx="2378076" cy="138950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05T20:14:39.29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1 0 32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Mitarbeiter" displayName="tblMitarbeiter" ref="D8:G84" headerRowDxfId="706" dataDxfId="705" totalsRowDxfId="703" tableBorderDxfId="704">
  <autoFilter ref="D8:G84" xr:uid="{00000000-0009-0000-0100-000004000000}"/>
  <sortState xmlns:xlrd2="http://schemas.microsoft.com/office/spreadsheetml/2017/richdata2" ref="D9:G84">
    <sortCondition ref="E8:E84"/>
  </sortState>
  <tableColumns count="4">
    <tableColumn id="2" xr3:uid="{00000000-0010-0000-0000-000002000000}" name="Sortierung" dataDxfId="702" totalsRowDxfId="701"/>
    <tableColumn id="3" xr3:uid="{00000000-0010-0000-0000-000003000000}" name="Mitarbeiter" totalsRowFunction="count" dataDxfId="700"/>
    <tableColumn id="5" xr3:uid="{D9E9B57A-DE54-DC4D-B39D-8CACE6B1937A}" name="PersonalNr" dataDxfId="699" totalsRowDxfId="698"/>
    <tableColumn id="1" xr3:uid="{C45AAB2D-FB1E-A740-9E0D-F6EA3854D265}" name="Urlaubstage" dataDxfId="697" totalsRowDxfId="696"/>
  </tableColumns>
  <tableStyleInfo name="TableStyleMedium2" showFirstColumn="0" showLastColumn="1" showRowStripes="1" showColumnStripes="0"/>
</table>
</file>

<file path=xl/theme/theme1.xml><?xml version="1.0" encoding="utf-8"?>
<a:theme xmlns:a="http://schemas.openxmlformats.org/drawingml/2006/main" name="Office">
  <a:themeElements>
    <a:clrScheme name="Grü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blEinstellungen">
    <tabColor rgb="FFFF0000"/>
  </sheetPr>
  <dimension ref="A1:AH149"/>
  <sheetViews>
    <sheetView showGridLines="0" tabSelected="1" zoomScale="70" zoomScaleNormal="70" workbookViewId="0">
      <selection activeCell="B3" sqref="B3"/>
    </sheetView>
  </sheetViews>
  <sheetFormatPr baseColWidth="10" defaultColWidth="11.36328125" defaultRowHeight="25" x14ac:dyDescent="0.25"/>
  <cols>
    <col min="1" max="1" width="35.36328125" style="6" customWidth="1"/>
    <col min="2" max="2" width="21.36328125" style="6" customWidth="1"/>
    <col min="3" max="3" width="10.36328125" style="6" customWidth="1"/>
    <col min="4" max="4" width="19.1796875" style="6" customWidth="1"/>
    <col min="5" max="5" width="34.81640625" style="6" customWidth="1"/>
    <col min="6" max="6" width="23.36328125" style="6" customWidth="1"/>
    <col min="7" max="7" width="26.36328125" style="6" customWidth="1"/>
    <col min="8" max="8" width="12" style="6" customWidth="1"/>
    <col min="9" max="9" width="10.81640625" style="6" customWidth="1"/>
    <col min="10" max="10" width="14.453125" style="6" customWidth="1"/>
    <col min="11" max="11" width="10.81640625" style="6" customWidth="1"/>
    <col min="12" max="15" width="10.36328125" style="6" customWidth="1"/>
    <col min="16" max="16" width="23.36328125" style="6" customWidth="1"/>
    <col min="17" max="17" width="10.36328125" style="6" customWidth="1"/>
    <col min="18" max="18" width="13" style="6" customWidth="1"/>
    <col min="19" max="19" width="46.1796875" style="245" hidden="1" customWidth="1"/>
    <col min="20" max="20" width="10.1796875" style="6" customWidth="1"/>
    <col min="21" max="29" width="10.36328125" style="6" customWidth="1"/>
    <col min="30" max="32" width="11.36328125" style="6" hidden="1"/>
    <col min="33" max="34" width="10.36328125" style="6" hidden="1" customWidth="1"/>
    <col min="35" max="65" width="10.36328125" style="6" customWidth="1"/>
    <col min="66" max="16384" width="11.36328125" style="6"/>
  </cols>
  <sheetData>
    <row r="1" spans="1:19" x14ac:dyDescent="0.25">
      <c r="A1" s="42">
        <v>30</v>
      </c>
    </row>
    <row r="2" spans="1:19" ht="25.5" thickBot="1" x14ac:dyDescent="0.3"/>
    <row r="3" spans="1:19" ht="44.25" customHeight="1" thickBot="1" x14ac:dyDescent="0.3">
      <c r="A3" s="1" t="s">
        <v>38</v>
      </c>
      <c r="B3" s="108">
        <v>2024</v>
      </c>
      <c r="D3" s="1" t="s">
        <v>39</v>
      </c>
      <c r="E3" s="251" t="s">
        <v>80</v>
      </c>
      <c r="F3" s="252"/>
      <c r="G3" s="253"/>
      <c r="H3" s="135"/>
      <c r="I3" s="247" t="s">
        <v>40</v>
      </c>
      <c r="J3" s="248"/>
      <c r="K3" s="251" t="s">
        <v>104</v>
      </c>
      <c r="L3" s="252"/>
      <c r="M3" s="253"/>
    </row>
    <row r="4" spans="1:19" x14ac:dyDescent="0.25">
      <c r="D4" s="33"/>
    </row>
    <row r="5" spans="1:19" x14ac:dyDescent="0.25">
      <c r="D5" s="33"/>
    </row>
    <row r="6" spans="1:19" ht="25.5" thickBot="1" x14ac:dyDescent="0.3">
      <c r="D6" s="33"/>
    </row>
    <row r="7" spans="1:19" ht="33" thickBot="1" x14ac:dyDescent="0.3">
      <c r="A7" s="250" t="s">
        <v>0</v>
      </c>
      <c r="B7" s="250"/>
      <c r="D7" s="254" t="s">
        <v>20</v>
      </c>
      <c r="E7" s="255"/>
      <c r="F7" s="255"/>
      <c r="G7" s="256"/>
      <c r="I7" s="132" t="str">
        <f>"Offizielle Version mit " &amp; A1 &amp; " Zeilen für Zeitverwaltungsprogramm 1.0.0.7"</f>
        <v>Offizielle Version mit 30 Zeilen für Zeitverwaltungsprogramm 1.0.0.7</v>
      </c>
    </row>
    <row r="8" spans="1:19" ht="30" customHeight="1" x14ac:dyDescent="0.25">
      <c r="A8" s="25" t="s">
        <v>1</v>
      </c>
      <c r="B8" s="29">
        <f>DATE(B3,1,1)</f>
        <v>45292</v>
      </c>
      <c r="D8" s="120" t="s">
        <v>24</v>
      </c>
      <c r="E8" s="26" t="s">
        <v>20</v>
      </c>
      <c r="F8" s="120" t="s">
        <v>32</v>
      </c>
      <c r="G8" s="120" t="s">
        <v>65</v>
      </c>
      <c r="H8" s="26"/>
      <c r="I8" s="133" t="s">
        <v>16</v>
      </c>
      <c r="S8" s="246" t="s">
        <v>105</v>
      </c>
    </row>
    <row r="9" spans="1:19" ht="30" customHeight="1" thickBot="1" x14ac:dyDescent="0.3">
      <c r="A9" s="2" t="s">
        <v>2</v>
      </c>
      <c r="B9" s="30">
        <f>DATE(B3,1,6)</f>
        <v>45297</v>
      </c>
      <c r="D9" s="121">
        <v>1</v>
      </c>
      <c r="E9" s="122" t="s">
        <v>98</v>
      </c>
      <c r="F9" s="123">
        <v>7304</v>
      </c>
      <c r="G9" s="121"/>
      <c r="H9" s="73"/>
      <c r="I9" s="35"/>
      <c r="J9" s="134"/>
      <c r="K9" s="134"/>
      <c r="L9" s="134"/>
      <c r="M9" s="134"/>
      <c r="N9" s="134"/>
      <c r="O9" s="134"/>
      <c r="P9" s="134"/>
      <c r="S9" s="245" t="str" cm="1">
        <f t="array" ref="S9">IFERROR(INDEX(Einstellungen!$E$9:$E$84,MATCH(SMALL(IF(ISTEXT(Einstellungen!$E$9:$E$84),Einstellungen!$D$9:$D$84),ROW()-8),Einstellungen!$D$9:$D$84,0))," ")</f>
        <v xml:space="preserve">Baetz Thomas </v>
      </c>
    </row>
    <row r="10" spans="1:19" ht="30" customHeight="1" x14ac:dyDescent="0.25">
      <c r="A10" s="2" t="s">
        <v>3</v>
      </c>
      <c r="B10" s="30">
        <f>B11-2</f>
        <v>45380</v>
      </c>
      <c r="D10" s="121">
        <v>2</v>
      </c>
      <c r="E10" s="122" t="s">
        <v>83</v>
      </c>
      <c r="F10" s="121">
        <v>4669</v>
      </c>
      <c r="G10" s="121"/>
      <c r="H10" s="73"/>
      <c r="I10" s="137" t="s">
        <v>41</v>
      </c>
      <c r="J10" s="138"/>
      <c r="K10" s="138"/>
      <c r="L10" s="138"/>
      <c r="M10" s="138"/>
      <c r="N10" s="138"/>
      <c r="O10" s="138"/>
      <c r="P10" s="139"/>
      <c r="S10" s="245" t="str" cm="1">
        <f t="array" ref="S10">IFERROR(INDEX(Einstellungen!$E$9:$E$84,MATCH(SMALL(IF(ISTEXT(Einstellungen!$E$9:$E$84),Einstellungen!$D$9:$D$84),ROW()-8),Einstellungen!$D$9:$D$84,0))," ")</f>
        <v>Dölfel Christian OL AWP</v>
      </c>
    </row>
    <row r="11" spans="1:19" ht="30" customHeight="1" x14ac:dyDescent="0.25">
      <c r="A11" s="2" t="s">
        <v>4</v>
      </c>
      <c r="B11" s="30">
        <f>DOLLAR((DAY(MINUTE($B$3/38)/2+55)&amp;".4."&amp;$B$3)/7,)*7-6</f>
        <v>45382</v>
      </c>
      <c r="D11" s="121">
        <v>3</v>
      </c>
      <c r="E11" s="122" t="s">
        <v>87</v>
      </c>
      <c r="F11" s="121">
        <v>7077</v>
      </c>
      <c r="G11" s="121"/>
      <c r="H11" s="73"/>
      <c r="I11" s="140" t="s">
        <v>42</v>
      </c>
      <c r="J11" s="136"/>
      <c r="K11" s="136"/>
      <c r="L11" s="136"/>
      <c r="M11" s="136"/>
      <c r="N11" s="136"/>
      <c r="O11" s="136"/>
      <c r="P11" s="141"/>
      <c r="S11" s="245" t="str" cm="1">
        <f t="array" ref="S11">IFERROR(INDEX(Einstellungen!$E$9:$E$84,MATCH(SMALL(IF(ISTEXT(Einstellungen!$E$9:$E$84),Einstellungen!$D$9:$D$84),ROW()-8),Einstellungen!$D$9:$D$84,0))," ")</f>
        <v>Elrich Arthur</v>
      </c>
    </row>
    <row r="12" spans="1:19" ht="30" customHeight="1" x14ac:dyDescent="0.25">
      <c r="A12" s="2" t="s">
        <v>5</v>
      </c>
      <c r="B12" s="30">
        <f>B11+1</f>
        <v>45383</v>
      </c>
      <c r="D12" s="121">
        <v>4</v>
      </c>
      <c r="E12" s="122" t="s">
        <v>92</v>
      </c>
      <c r="F12" s="121">
        <v>4791</v>
      </c>
      <c r="G12" s="121"/>
      <c r="H12" s="73"/>
      <c r="I12" s="142"/>
      <c r="J12" s="136"/>
      <c r="K12" s="136"/>
      <c r="L12" s="136"/>
      <c r="M12" s="136"/>
      <c r="N12" s="136"/>
      <c r="O12" s="136"/>
      <c r="P12" s="141"/>
      <c r="S12" s="245" t="str" cm="1">
        <f t="array" ref="S12">IFERROR(INDEX(Einstellungen!$E$9:$E$84,MATCH(SMALL(IF(ISTEXT(Einstellungen!$E$9:$E$84),Einstellungen!$D$9:$D$84),ROW()-8),Einstellungen!$D$9:$D$84,0))," ")</f>
        <v>Haselbacher Rene AWP</v>
      </c>
    </row>
    <row r="13" spans="1:19" ht="30" customHeight="1" x14ac:dyDescent="0.25">
      <c r="A13" s="2" t="s">
        <v>6</v>
      </c>
      <c r="B13" s="30">
        <f>DATE(B3,5,1)</f>
        <v>45413</v>
      </c>
      <c r="D13" s="121">
        <v>5</v>
      </c>
      <c r="E13" s="122" t="s">
        <v>95</v>
      </c>
      <c r="F13" s="121">
        <v>2222</v>
      </c>
      <c r="G13" s="121"/>
      <c r="H13" s="73"/>
      <c r="I13" s="140" t="s">
        <v>43</v>
      </c>
      <c r="J13" s="136"/>
      <c r="K13" s="136"/>
      <c r="L13" s="136"/>
      <c r="M13" s="136"/>
      <c r="N13" s="136"/>
      <c r="O13" s="136"/>
      <c r="P13" s="141"/>
      <c r="S13" s="245" t="str" cm="1">
        <f t="array" ref="S13">IFERROR(INDEX(Einstellungen!$E$9:$E$84,MATCH(SMALL(IF(ISTEXT(Einstellungen!$E$9:$E$84),Einstellungen!$D$9:$D$84),ROW()-8),Einstellungen!$D$9:$D$84,0))," ")</f>
        <v>Kaiser Andre</v>
      </c>
    </row>
    <row r="14" spans="1:19" ht="30" customHeight="1" thickBot="1" x14ac:dyDescent="0.3">
      <c r="A14" s="2" t="s">
        <v>7</v>
      </c>
      <c r="B14" s="30">
        <f>B11+39</f>
        <v>45421</v>
      </c>
      <c r="D14" s="121">
        <v>6</v>
      </c>
      <c r="E14" s="122" t="s">
        <v>94</v>
      </c>
      <c r="F14" s="121">
        <v>1111</v>
      </c>
      <c r="G14" s="121"/>
      <c r="H14" s="73"/>
      <c r="I14" s="143" t="s">
        <v>44</v>
      </c>
      <c r="J14" s="144"/>
      <c r="K14" s="144"/>
      <c r="L14" s="144"/>
      <c r="M14" s="144"/>
      <c r="N14" s="144"/>
      <c r="O14" s="144"/>
      <c r="P14" s="145"/>
      <c r="S14" s="245" t="str" cm="1">
        <f t="array" ref="S14">IFERROR(INDEX(Einstellungen!$E$9:$E$84,MATCH(SMALL(IF(ISTEXT(Einstellungen!$E$9:$E$84),Einstellungen!$D$9:$D$84),ROW()-8),Einstellungen!$D$9:$D$84,0))," ")</f>
        <v xml:space="preserve">Lorz Michael </v>
      </c>
    </row>
    <row r="15" spans="1:19" ht="30" customHeight="1" thickBot="1" x14ac:dyDescent="0.3">
      <c r="A15" s="2" t="s">
        <v>8</v>
      </c>
      <c r="B15" s="30">
        <f>B11+49</f>
        <v>45431</v>
      </c>
      <c r="D15" s="121">
        <v>7</v>
      </c>
      <c r="E15" s="122" t="s">
        <v>91</v>
      </c>
      <c r="F15" s="121">
        <v>4775</v>
      </c>
      <c r="G15" s="121"/>
      <c r="H15" s="73"/>
      <c r="I15" s="134"/>
      <c r="J15" s="134"/>
      <c r="K15" s="134"/>
      <c r="L15" s="134"/>
      <c r="M15" s="134"/>
      <c r="N15" s="134"/>
      <c r="O15" s="134"/>
      <c r="P15" s="134"/>
      <c r="S15" s="245" t="str" cm="1">
        <f t="array" ref="S15">IFERROR(INDEX(Einstellungen!$E$9:$E$84,MATCH(SMALL(IF(ISTEXT(Einstellungen!$E$9:$E$84),Einstellungen!$D$9:$D$84),ROW()-8),Einstellungen!$D$9:$D$84,0))," ")</f>
        <v>Malek Robert AWP</v>
      </c>
    </row>
    <row r="16" spans="1:19" ht="30" customHeight="1" x14ac:dyDescent="0.25">
      <c r="A16" s="2" t="s">
        <v>9</v>
      </c>
      <c r="B16" s="30">
        <f>B11+50</f>
        <v>45432</v>
      </c>
      <c r="D16" s="121">
        <v>8</v>
      </c>
      <c r="E16" s="122" t="s">
        <v>85</v>
      </c>
      <c r="F16" s="121">
        <v>4768</v>
      </c>
      <c r="G16" s="121"/>
      <c r="H16" s="73"/>
      <c r="I16" s="137" t="s">
        <v>67</v>
      </c>
      <c r="J16" s="138"/>
      <c r="K16" s="138"/>
      <c r="L16" s="138"/>
      <c r="M16" s="138"/>
      <c r="N16" s="138"/>
      <c r="O16" s="138"/>
      <c r="P16" s="139"/>
      <c r="S16" s="245" t="str" cm="1">
        <f t="array" ref="S16">IFERROR(INDEX(Einstellungen!$E$9:$E$84,MATCH(SMALL(IF(ISTEXT(Einstellungen!$E$9:$E$84),Einstellungen!$D$9:$D$84),ROW()-8),Einstellungen!$D$9:$D$84,0))," ")</f>
        <v>Medved Antonin AWP</v>
      </c>
    </row>
    <row r="17" spans="1:19" ht="30" customHeight="1" x14ac:dyDescent="0.25">
      <c r="A17" s="2" t="s">
        <v>10</v>
      </c>
      <c r="B17" s="30">
        <f>B11+60</f>
        <v>45442</v>
      </c>
      <c r="D17" s="121">
        <v>9</v>
      </c>
      <c r="E17" s="122" t="s">
        <v>84</v>
      </c>
      <c r="F17" s="121">
        <v>4769</v>
      </c>
      <c r="G17" s="121"/>
      <c r="H17" s="73"/>
      <c r="I17" s="140" t="s">
        <v>68</v>
      </c>
      <c r="J17" s="136"/>
      <c r="K17" s="136"/>
      <c r="L17" s="136"/>
      <c r="M17" s="136"/>
      <c r="N17" s="136"/>
      <c r="O17" s="136"/>
      <c r="P17" s="141"/>
      <c r="S17" s="245" t="str" cm="1">
        <f t="array" ref="S17">IFERROR(INDEX(Einstellungen!$E$9:$E$84,MATCH(SMALL(IF(ISTEXT(Einstellungen!$E$9:$E$84),Einstellungen!$D$9:$D$84),ROW()-8),Einstellungen!$D$9:$D$84,0))," ")</f>
        <v>Medvedova Eva AWP</v>
      </c>
    </row>
    <row r="18" spans="1:19" ht="30" customHeight="1" x14ac:dyDescent="0.25">
      <c r="A18" s="2" t="s">
        <v>11</v>
      </c>
      <c r="B18" s="30">
        <f>DATE(B3,8,15)</f>
        <v>45519</v>
      </c>
      <c r="D18" s="121">
        <v>10</v>
      </c>
      <c r="E18" s="122" t="s">
        <v>96</v>
      </c>
      <c r="F18" s="121">
        <v>3333</v>
      </c>
      <c r="G18" s="121"/>
      <c r="H18" s="73"/>
      <c r="I18" s="140" t="s">
        <v>69</v>
      </c>
      <c r="J18" s="136"/>
      <c r="K18" s="136"/>
      <c r="L18" s="136"/>
      <c r="M18" s="136"/>
      <c r="N18" s="136"/>
      <c r="O18" s="136"/>
      <c r="P18" s="141"/>
      <c r="S18" s="245" t="str" cm="1">
        <f t="array" ref="S18">IFERROR(INDEX(Einstellungen!$E$9:$E$84,MATCH(SMALL(IF(ISTEXT(Einstellungen!$E$9:$E$84),Einstellungen!$D$9:$D$84),ROW()-8),Einstellungen!$D$9:$D$84,0))," ")</f>
        <v>Roweder Thomas AWP</v>
      </c>
    </row>
    <row r="19" spans="1:19" ht="30" customHeight="1" x14ac:dyDescent="0.25">
      <c r="A19" s="2" t="s">
        <v>12</v>
      </c>
      <c r="B19" s="30">
        <f>DATE(B3,10,3)</f>
        <v>45568</v>
      </c>
      <c r="D19" s="121">
        <v>11</v>
      </c>
      <c r="E19" s="122" t="s">
        <v>89</v>
      </c>
      <c r="F19" s="121">
        <v>4819</v>
      </c>
      <c r="G19" s="121"/>
      <c r="H19" s="73"/>
      <c r="I19" s="140" t="s">
        <v>70</v>
      </c>
      <c r="J19" s="136"/>
      <c r="K19" s="136"/>
      <c r="L19" s="136"/>
      <c r="M19" s="136"/>
      <c r="N19" s="136"/>
      <c r="O19" s="136"/>
      <c r="P19" s="141"/>
      <c r="S19" s="245" t="str" cm="1">
        <f t="array" ref="S19">IFERROR(INDEX(Einstellungen!$E$9:$E$84,MATCH(SMALL(IF(ISTEXT(Einstellungen!$E$9:$E$84),Einstellungen!$D$9:$D$84),ROW()-8),Einstellungen!$D$9:$D$84,0))," ")</f>
        <v>Royt Pavel AWP</v>
      </c>
    </row>
    <row r="20" spans="1:19" ht="30" customHeight="1" thickBot="1" x14ac:dyDescent="0.3">
      <c r="A20" s="2" t="s">
        <v>13</v>
      </c>
      <c r="B20" s="30">
        <f>DATE(B3,11,1)</f>
        <v>45597</v>
      </c>
      <c r="D20" s="121">
        <v>12</v>
      </c>
      <c r="E20" s="122" t="s">
        <v>97</v>
      </c>
      <c r="F20" s="121">
        <v>7274</v>
      </c>
      <c r="G20" s="121"/>
      <c r="H20" s="73"/>
      <c r="I20" s="143" t="s">
        <v>71</v>
      </c>
      <c r="J20" s="144"/>
      <c r="K20" s="144"/>
      <c r="L20" s="144"/>
      <c r="M20" s="144"/>
      <c r="N20" s="144"/>
      <c r="O20" s="144"/>
      <c r="P20" s="145"/>
      <c r="S20" s="245" t="str" cm="1">
        <f t="array" ref="S20">IFERROR(INDEX(Einstellungen!$E$9:$E$84,MATCH(SMALL(IF(ISTEXT(Einstellungen!$E$9:$E$84),Einstellungen!$D$9:$D$84),ROW()-8),Einstellungen!$D$9:$D$84,0))," ")</f>
        <v>Schober Marco</v>
      </c>
    </row>
    <row r="21" spans="1:19" ht="30" customHeight="1" x14ac:dyDescent="0.25">
      <c r="A21" s="2" t="s">
        <v>14</v>
      </c>
      <c r="B21" s="30">
        <f>DATE(B3,12,25)</f>
        <v>45651</v>
      </c>
      <c r="D21" s="121">
        <v>13</v>
      </c>
      <c r="E21" s="122" t="s">
        <v>93</v>
      </c>
      <c r="F21" s="121">
        <v>4773</v>
      </c>
      <c r="G21" s="121"/>
      <c r="H21" s="73"/>
      <c r="I21" s="134"/>
      <c r="J21" s="134"/>
      <c r="K21" s="134"/>
      <c r="L21" s="134"/>
      <c r="M21" s="134"/>
      <c r="N21" s="134"/>
      <c r="O21" s="134"/>
      <c r="P21" s="134"/>
      <c r="S21" s="245" t="str" cm="1">
        <f t="array" ref="S21">IFERROR(INDEX(Einstellungen!$E$9:$E$84,MATCH(SMALL(IF(ISTEXT(Einstellungen!$E$9:$E$84),Einstellungen!$D$9:$D$84),ROW()-8),Einstellungen!$D$9:$D$84,0))," ")</f>
        <v>Schwaiger Walter AWP</v>
      </c>
    </row>
    <row r="22" spans="1:19" ht="30" customHeight="1" thickBot="1" x14ac:dyDescent="0.3">
      <c r="A22" s="3" t="s">
        <v>15</v>
      </c>
      <c r="B22" s="31">
        <f>DATE(B3,12,26)</f>
        <v>45652</v>
      </c>
      <c r="D22" s="121">
        <v>14</v>
      </c>
      <c r="E22" s="122" t="s">
        <v>90</v>
      </c>
      <c r="F22" s="121">
        <v>5162</v>
      </c>
      <c r="G22" s="121"/>
      <c r="H22" s="73"/>
      <c r="I22" s="24"/>
      <c r="J22" s="24"/>
      <c r="K22" s="24"/>
      <c r="L22" s="24"/>
      <c r="M22" s="24"/>
      <c r="N22" s="24"/>
      <c r="O22" s="24"/>
      <c r="P22" s="24"/>
      <c r="S22" s="245" t="str" cm="1">
        <f t="array" ref="S22">IFERROR(INDEX(Einstellungen!$E$9:$E$84,MATCH(SMALL(IF(ISTEXT(Einstellungen!$E$9:$E$84),Einstellungen!$D$9:$D$84),ROW()-8),Einstellungen!$D$9:$D$84,0))," ")</f>
        <v>Simek Vlastimil</v>
      </c>
    </row>
    <row r="23" spans="1:19" ht="30" customHeight="1" x14ac:dyDescent="0.25">
      <c r="D23" s="121">
        <v>15</v>
      </c>
      <c r="E23" s="122" t="s">
        <v>86</v>
      </c>
      <c r="F23" s="121">
        <v>4767</v>
      </c>
      <c r="G23" s="121"/>
      <c r="H23" s="73"/>
      <c r="I23" s="34"/>
      <c r="J23" s="24"/>
      <c r="K23" s="24"/>
      <c r="L23" s="24"/>
      <c r="M23" s="24"/>
      <c r="N23" s="24"/>
      <c r="O23" s="24"/>
      <c r="P23" s="24"/>
      <c r="S23" s="245" t="str" cm="1">
        <f t="array" ref="S23">IFERROR(INDEX(Einstellungen!$E$9:$E$84,MATCH(SMALL(IF(ISTEXT(Einstellungen!$E$9:$E$84),Einstellungen!$D$9:$D$84),ROW()-8),Einstellungen!$D$9:$D$84,0))," ")</f>
        <v>Wagner Michael AWP</v>
      </c>
    </row>
    <row r="24" spans="1:19" ht="30" customHeight="1" x14ac:dyDescent="0.25">
      <c r="D24" s="121">
        <v>16</v>
      </c>
      <c r="E24" s="122" t="s">
        <v>88</v>
      </c>
      <c r="F24" s="121">
        <v>4444</v>
      </c>
      <c r="G24" s="121"/>
      <c r="H24" s="73"/>
      <c r="I24" s="24"/>
      <c r="J24" s="24"/>
      <c r="K24" s="24"/>
      <c r="L24" s="24"/>
      <c r="M24" s="24"/>
      <c r="N24" s="24"/>
      <c r="O24" s="24"/>
      <c r="P24" s="24"/>
      <c r="S24" s="245" t="str" cm="1">
        <f t="array" ref="S24">IFERROR(INDEX(Einstellungen!$E$9:$E$84,MATCH(SMALL(IF(ISTEXT(Einstellungen!$E$9:$E$84),Einstellungen!$D$9:$D$84),ROW()-8),Einstellungen!$D$9:$D$84,0))," ")</f>
        <v>Weindinger Marco AWP</v>
      </c>
    </row>
    <row r="25" spans="1:19" ht="30" customHeight="1" x14ac:dyDescent="0.25">
      <c r="A25" s="32"/>
      <c r="D25" s="121"/>
      <c r="E25" s="122"/>
      <c r="F25" s="121"/>
      <c r="G25" s="121"/>
      <c r="H25" s="73"/>
      <c r="I25" s="134" t="s">
        <v>72</v>
      </c>
      <c r="J25" s="24"/>
      <c r="K25" s="24"/>
      <c r="L25" s="24"/>
      <c r="M25" s="24"/>
      <c r="N25" s="24"/>
      <c r="O25" s="24"/>
      <c r="P25" s="24"/>
      <c r="S25" s="245" t="str" cm="1">
        <f t="array" ref="S25">IFERROR(INDEX(Einstellungen!$E$9:$E$84,MATCH(SMALL(IF(ISTEXT(Einstellungen!$E$9:$E$84),Einstellungen!$D$9:$D$84),ROW()-8),Einstellungen!$D$9:$D$84,0))," ")</f>
        <v xml:space="preserve"> </v>
      </c>
    </row>
    <row r="26" spans="1:19" ht="30" customHeight="1" x14ac:dyDescent="0.25">
      <c r="A26" s="32"/>
      <c r="D26" s="121"/>
      <c r="E26" s="122"/>
      <c r="F26" s="121"/>
      <c r="G26" s="121"/>
      <c r="H26" s="73"/>
      <c r="I26" s="134" t="s">
        <v>73</v>
      </c>
      <c r="J26" s="24"/>
      <c r="K26" s="24"/>
      <c r="L26" s="24"/>
      <c r="M26" s="24"/>
      <c r="N26" s="24"/>
      <c r="O26" s="24"/>
      <c r="P26" s="24"/>
      <c r="S26" s="245" t="str" cm="1">
        <f t="array" ref="S26">IFERROR(INDEX(Einstellungen!$E$9:$E$84,MATCH(SMALL(IF(ISTEXT(Einstellungen!$E$9:$E$84),Einstellungen!$D$9:$D$84),ROW()-8),Einstellungen!$D$9:$D$84,0))," ")</f>
        <v xml:space="preserve"> </v>
      </c>
    </row>
    <row r="27" spans="1:19" ht="30" customHeight="1" x14ac:dyDescent="0.25">
      <c r="D27" s="121"/>
      <c r="E27" s="122"/>
      <c r="F27" s="121"/>
      <c r="G27" s="121"/>
      <c r="H27" s="73"/>
      <c r="I27" s="134" t="s">
        <v>74</v>
      </c>
      <c r="J27" s="69"/>
      <c r="K27" s="69"/>
      <c r="L27" s="69"/>
      <c r="M27" s="69"/>
      <c r="N27" s="69"/>
      <c r="O27" s="69"/>
      <c r="P27" s="69"/>
      <c r="Q27" s="70"/>
      <c r="S27" s="245" t="str" cm="1">
        <f t="array" ref="S27">IFERROR(INDEX(Einstellungen!$E$9:$E$84,MATCH(SMALL(IF(ISTEXT(Einstellungen!$E$9:$E$84),Einstellungen!$D$9:$D$84),ROW()-8),Einstellungen!$D$9:$D$84,0))," ")</f>
        <v xml:space="preserve"> </v>
      </c>
    </row>
    <row r="28" spans="1:19" ht="30" customHeight="1" x14ac:dyDescent="0.25">
      <c r="D28" s="121"/>
      <c r="E28" s="122"/>
      <c r="F28" s="121"/>
      <c r="G28" s="121"/>
      <c r="H28" s="73"/>
      <c r="I28" s="69"/>
      <c r="J28" s="69"/>
      <c r="K28" s="69"/>
      <c r="L28" s="69"/>
      <c r="M28" s="69"/>
      <c r="N28" s="69"/>
      <c r="O28" s="69"/>
      <c r="P28" s="69"/>
      <c r="Q28" s="70"/>
      <c r="S28" s="245" t="str" cm="1">
        <f t="array" ref="S28">IFERROR(INDEX(Einstellungen!$E$9:$E$84,MATCH(SMALL(IF(ISTEXT(Einstellungen!$E$9:$E$84),Einstellungen!$D$9:$D$84),ROW()-8),Einstellungen!$D$9:$D$84,0))," ")</f>
        <v xml:space="preserve"> </v>
      </c>
    </row>
    <row r="29" spans="1:19" ht="30" customHeight="1" thickBot="1" x14ac:dyDescent="0.3">
      <c r="D29" s="121"/>
      <c r="E29" s="122"/>
      <c r="F29" s="121"/>
      <c r="G29" s="121"/>
      <c r="H29" s="73"/>
      <c r="I29" s="146" t="s">
        <v>54</v>
      </c>
      <c r="J29" s="24"/>
      <c r="K29" s="146" t="s">
        <v>55</v>
      </c>
      <c r="L29" s="24"/>
      <c r="M29" s="24"/>
      <c r="N29" s="24"/>
      <c r="O29" s="24"/>
      <c r="P29" s="24"/>
      <c r="S29" s="245" t="str" cm="1">
        <f t="array" ref="S29">IFERROR(INDEX(Einstellungen!$E$9:$E$84,MATCH(SMALL(IF(ISTEXT(Einstellungen!$E$9:$E$84),Einstellungen!$D$9:$D$84),ROW()-8),Einstellungen!$D$9:$D$84,0))," ")</f>
        <v xml:space="preserve"> </v>
      </c>
    </row>
    <row r="30" spans="1:19" ht="30" customHeight="1" x14ac:dyDescent="0.25">
      <c r="A30" s="35"/>
      <c r="D30" s="121"/>
      <c r="E30" s="122"/>
      <c r="F30" s="121"/>
      <c r="G30" s="121"/>
      <c r="H30" s="73"/>
      <c r="I30" s="147" t="s">
        <v>81</v>
      </c>
      <c r="J30" s="24"/>
      <c r="K30" s="147" t="s">
        <v>82</v>
      </c>
      <c r="L30" s="24"/>
      <c r="M30" s="24"/>
      <c r="N30" s="24"/>
      <c r="O30" s="24"/>
      <c r="P30" s="24"/>
      <c r="S30" s="245" t="str" cm="1">
        <f t="array" ref="S30">IFERROR(INDEX(Einstellungen!$E$9:$E$84,MATCH(SMALL(IF(ISTEXT(Einstellungen!$E$9:$E$84),Einstellungen!$D$9:$D$84),ROW()-8),Einstellungen!$D$9:$D$84,0))," ")</f>
        <v xml:space="preserve"> </v>
      </c>
    </row>
    <row r="31" spans="1:19" ht="30" customHeight="1" x14ac:dyDescent="0.25">
      <c r="A31" s="36"/>
      <c r="D31" s="121"/>
      <c r="E31" s="122"/>
      <c r="F31" s="123"/>
      <c r="G31" s="121"/>
      <c r="H31" s="73"/>
      <c r="I31" s="148" t="s">
        <v>17</v>
      </c>
      <c r="J31" s="24"/>
      <c r="K31" s="148" t="s">
        <v>18</v>
      </c>
      <c r="L31" s="24"/>
      <c r="M31" s="24"/>
      <c r="N31" s="24"/>
      <c r="O31" s="24"/>
      <c r="P31" s="24"/>
      <c r="S31" s="245" t="str" cm="1">
        <f t="array" ref="S31">IFERROR(INDEX(Einstellungen!$E$9:$E$84,MATCH(SMALL(IF(ISTEXT(Einstellungen!$E$9:$E$84),Einstellungen!$D$9:$D$84),ROW()-8),Einstellungen!$D$9:$D$84,0))," ")</f>
        <v xml:space="preserve"> </v>
      </c>
    </row>
    <row r="32" spans="1:19" ht="30" customHeight="1" x14ac:dyDescent="0.25">
      <c r="D32" s="121"/>
      <c r="E32" s="122"/>
      <c r="F32" s="121"/>
      <c r="G32" s="121"/>
      <c r="H32" s="73"/>
      <c r="I32" s="148"/>
      <c r="J32" s="24"/>
      <c r="K32" s="148"/>
      <c r="L32" s="24"/>
      <c r="M32" s="24"/>
      <c r="N32" s="24"/>
      <c r="O32" s="24"/>
      <c r="P32" s="24"/>
      <c r="S32" s="245" t="str" cm="1">
        <f t="array" ref="S32">IFERROR(INDEX(Einstellungen!$E$9:$E$84,MATCH(SMALL(IF(ISTEXT(Einstellungen!$E$9:$E$84),Einstellungen!$D$9:$D$84),ROW()-8),Einstellungen!$D$9:$D$84,0))," ")</f>
        <v xml:space="preserve"> </v>
      </c>
    </row>
    <row r="33" spans="2:19" ht="30" customHeight="1" x14ac:dyDescent="0.25">
      <c r="B33" s="4"/>
      <c r="D33" s="121"/>
      <c r="E33" s="122"/>
      <c r="F33" s="121"/>
      <c r="G33" s="121"/>
      <c r="H33" s="73"/>
      <c r="I33" s="148"/>
      <c r="J33" s="24"/>
      <c r="K33" s="148"/>
      <c r="L33" s="24"/>
      <c r="M33" s="24"/>
      <c r="N33" s="24"/>
      <c r="O33" s="24"/>
      <c r="P33" s="24"/>
      <c r="S33" s="245" t="str" cm="1">
        <f t="array" ref="S33">IFERROR(INDEX(Einstellungen!$E$9:$E$84,MATCH(SMALL(IF(ISTEXT(Einstellungen!$E$9:$E$84),Einstellungen!$D$9:$D$84),ROW()-8),Einstellungen!$D$9:$D$84,0))," ")</f>
        <v xml:space="preserve"> </v>
      </c>
    </row>
    <row r="34" spans="2:19" ht="30" customHeight="1" x14ac:dyDescent="0.25">
      <c r="D34" s="121"/>
      <c r="E34" s="122"/>
      <c r="F34" s="121"/>
      <c r="G34" s="121"/>
      <c r="H34" s="73"/>
      <c r="I34" s="148"/>
      <c r="J34" s="24"/>
      <c r="K34" s="148"/>
      <c r="L34" s="24"/>
      <c r="M34" s="24"/>
      <c r="N34" s="24"/>
      <c r="O34" s="24"/>
      <c r="P34" s="24"/>
      <c r="S34" s="245" t="str" cm="1">
        <f t="array" ref="S34">IFERROR(INDEX(Einstellungen!$E$9:$E$84,MATCH(SMALL(IF(ISTEXT(Einstellungen!$E$9:$E$84),Einstellungen!$D$9:$D$84),ROW()-8),Einstellungen!$D$9:$D$84,0))," ")</f>
        <v xml:space="preserve"> </v>
      </c>
    </row>
    <row r="35" spans="2:19" ht="30" customHeight="1" x14ac:dyDescent="0.25">
      <c r="D35" s="121"/>
      <c r="E35" s="122"/>
      <c r="F35" s="121"/>
      <c r="G35" s="121"/>
      <c r="H35" s="73"/>
      <c r="I35" s="148"/>
      <c r="J35" s="24"/>
      <c r="K35" s="148"/>
      <c r="L35" s="24"/>
      <c r="M35" s="24"/>
      <c r="N35" s="24"/>
      <c r="O35" s="24"/>
      <c r="P35" s="24"/>
      <c r="S35" s="245" t="str" cm="1">
        <f t="array" ref="S35">IFERROR(INDEX(Einstellungen!$E$9:$E$84,MATCH(SMALL(IF(ISTEXT(Einstellungen!$E$9:$E$84),Einstellungen!$D$9:$D$84),ROW()-8),Einstellungen!$D$9:$D$84,0))," ")</f>
        <v xml:space="preserve"> </v>
      </c>
    </row>
    <row r="36" spans="2:19" ht="30" customHeight="1" x14ac:dyDescent="0.25">
      <c r="B36" s="249"/>
      <c r="D36" s="121"/>
      <c r="E36" s="122"/>
      <c r="F36" s="123"/>
      <c r="G36" s="121"/>
      <c r="H36" s="73"/>
      <c r="I36" s="148"/>
      <c r="J36" s="24"/>
      <c r="K36" s="148"/>
      <c r="L36" s="24"/>
      <c r="M36" s="24"/>
      <c r="N36" s="24"/>
      <c r="O36" s="24"/>
      <c r="P36" s="24"/>
      <c r="S36" s="245" t="str" cm="1">
        <f t="array" ref="S36">IFERROR(INDEX(Einstellungen!$E$9:$E$84,MATCH(SMALL(IF(ISTEXT(Einstellungen!$E$9:$E$84),Einstellungen!$D$9:$D$84),ROW()-8),Einstellungen!$D$9:$D$84,0))," ")</f>
        <v xml:space="preserve"> </v>
      </c>
    </row>
    <row r="37" spans="2:19" ht="30" customHeight="1" x14ac:dyDescent="0.25">
      <c r="B37" s="249"/>
      <c r="D37" s="121"/>
      <c r="E37" s="122"/>
      <c r="F37" s="121"/>
      <c r="G37" s="121"/>
      <c r="H37" s="73"/>
      <c r="I37" s="148"/>
      <c r="J37" s="24"/>
      <c r="K37" s="148"/>
      <c r="L37" s="24"/>
      <c r="M37" s="24"/>
      <c r="N37" s="24"/>
      <c r="O37" s="24"/>
      <c r="P37" s="24"/>
      <c r="S37" s="245" t="str" cm="1">
        <f t="array" ref="S37">IFERROR(INDEX(Einstellungen!$E$9:$E$84,MATCH(SMALL(IF(ISTEXT(Einstellungen!$E$9:$E$84),Einstellungen!$D$9:$D$84),ROW()-8),Einstellungen!$D$9:$D$84,0))," ")</f>
        <v xml:space="preserve"> </v>
      </c>
    </row>
    <row r="38" spans="2:19" ht="30" customHeight="1" x14ac:dyDescent="0.25">
      <c r="D38" s="121"/>
      <c r="E38" s="122"/>
      <c r="F38" s="121"/>
      <c r="G38" s="121"/>
      <c r="H38" s="73"/>
      <c r="I38" s="148"/>
      <c r="J38" s="24"/>
      <c r="K38" s="148"/>
      <c r="L38" s="24"/>
      <c r="M38" s="24"/>
      <c r="N38" s="24"/>
      <c r="O38" s="24"/>
      <c r="P38" s="24"/>
      <c r="S38" s="245" t="str" cm="1">
        <f t="array" ref="S38">IFERROR(INDEX(Einstellungen!$E$9:$E$84,MATCH(SMALL(IF(ISTEXT(Einstellungen!$E$9:$E$84),Einstellungen!$D$9:$D$84),ROW()-8),Einstellungen!$D$9:$D$84,0))," ")</f>
        <v xml:space="preserve"> </v>
      </c>
    </row>
    <row r="39" spans="2:19" ht="30" customHeight="1" x14ac:dyDescent="0.25">
      <c r="D39" s="121"/>
      <c r="E39" s="122"/>
      <c r="F39" s="123"/>
      <c r="G39" s="121"/>
      <c r="H39" s="73"/>
      <c r="I39" s="148"/>
      <c r="J39" s="24"/>
      <c r="K39" s="148"/>
      <c r="L39" s="24"/>
      <c r="M39" s="24"/>
      <c r="N39" s="24"/>
      <c r="O39" s="24"/>
      <c r="P39" s="24"/>
      <c r="S39" s="245" t="str" cm="1">
        <f t="array" ref="S39">IFERROR(INDEX(Einstellungen!$E$9:$E$84,MATCH(SMALL(IF(ISTEXT(Einstellungen!$E$9:$E$84),Einstellungen!$D$9:$D$84),ROW()-8),Einstellungen!$D$9:$D$84,0))," ")</f>
        <v xml:space="preserve"> </v>
      </c>
    </row>
    <row r="40" spans="2:19" ht="30" customHeight="1" x14ac:dyDescent="0.25">
      <c r="D40" s="121"/>
      <c r="E40" s="122"/>
      <c r="F40" s="123"/>
      <c r="G40" s="121"/>
      <c r="H40" s="73"/>
      <c r="I40" s="148"/>
      <c r="J40" s="24"/>
      <c r="K40" s="148"/>
      <c r="L40" s="24"/>
      <c r="M40" s="24"/>
      <c r="N40" s="24"/>
      <c r="O40" s="24"/>
      <c r="P40" s="24"/>
      <c r="S40" s="245" t="str" cm="1">
        <f t="array" ref="S40">IFERROR(INDEX(Einstellungen!$E$9:$E$84,MATCH(SMALL(IF(ISTEXT(Einstellungen!$E$9:$E$84),Einstellungen!$D$9:$D$84),ROW()-8),Einstellungen!$D$9:$D$84,0))," ")</f>
        <v xml:space="preserve"> </v>
      </c>
    </row>
    <row r="41" spans="2:19" ht="30" customHeight="1" x14ac:dyDescent="0.25">
      <c r="D41" s="121"/>
      <c r="E41" s="122"/>
      <c r="F41" s="123"/>
      <c r="G41" s="121"/>
      <c r="H41" s="73"/>
      <c r="I41" s="148"/>
      <c r="J41" s="24"/>
      <c r="K41" s="148"/>
      <c r="L41" s="24"/>
      <c r="M41" s="24"/>
      <c r="N41" s="24"/>
      <c r="O41" s="24"/>
      <c r="P41" s="24"/>
      <c r="S41" s="245" t="str" cm="1">
        <f t="array" ref="S41">IFERROR(INDEX(Einstellungen!$E$9:$E$84,MATCH(SMALL(IF(ISTEXT(Einstellungen!$E$9:$E$84),Einstellungen!$D$9:$D$84),ROW()-8),Einstellungen!$D$9:$D$84,0))," ")</f>
        <v xml:space="preserve"> </v>
      </c>
    </row>
    <row r="42" spans="2:19" ht="30" customHeight="1" thickBot="1" x14ac:dyDescent="0.3">
      <c r="D42" s="121"/>
      <c r="E42" s="122"/>
      <c r="F42" s="123"/>
      <c r="G42" s="121"/>
      <c r="H42" s="73"/>
      <c r="I42" s="149"/>
      <c r="J42" s="24"/>
      <c r="K42" s="149"/>
      <c r="L42" s="24"/>
      <c r="M42" s="24"/>
      <c r="N42" s="24"/>
      <c r="O42" s="24"/>
      <c r="P42" s="24"/>
      <c r="S42" s="245" t="str" cm="1">
        <f t="array" ref="S42">IFERROR(INDEX(Einstellungen!$E$9:$E$84,MATCH(SMALL(IF(ISTEXT(Einstellungen!$E$9:$E$84),Einstellungen!$D$9:$D$84),ROW()-8),Einstellungen!$D$9:$D$84,0))," ")</f>
        <v xml:space="preserve"> </v>
      </c>
    </row>
    <row r="43" spans="2:19" ht="30" customHeight="1" x14ac:dyDescent="0.25">
      <c r="D43" s="121"/>
      <c r="E43" s="122"/>
      <c r="F43" s="123"/>
      <c r="G43" s="121"/>
      <c r="H43" s="73"/>
      <c r="S43" s="245" t="str" cm="1">
        <f t="array" ref="S43">IFERROR(INDEX(Einstellungen!$E$9:$E$84,MATCH(SMALL(IF(ISTEXT(Einstellungen!$E$9:$E$84),Einstellungen!$D$9:$D$84),ROW()-8),Einstellungen!$D$9:$D$84,0))," ")</f>
        <v xml:space="preserve"> </v>
      </c>
    </row>
    <row r="44" spans="2:19" ht="30" customHeight="1" x14ac:dyDescent="0.25">
      <c r="D44" s="121"/>
      <c r="E44" s="122"/>
      <c r="F44" s="123"/>
      <c r="G44" s="121"/>
      <c r="H44" s="73"/>
      <c r="S44" s="245" t="str" cm="1">
        <f t="array" ref="S44">IFERROR(INDEX(Einstellungen!$E$9:$E$84,MATCH(SMALL(IF(ISTEXT(Einstellungen!$E$9:$E$84),Einstellungen!$D$9:$D$84),ROW()-8),Einstellungen!$D$9:$D$84,0))," ")</f>
        <v xml:space="preserve"> </v>
      </c>
    </row>
    <row r="45" spans="2:19" ht="30" customHeight="1" x14ac:dyDescent="0.25">
      <c r="D45" s="121"/>
      <c r="E45" s="122"/>
      <c r="F45" s="123"/>
      <c r="G45" s="121"/>
      <c r="H45" s="73"/>
      <c r="S45" s="245" t="str" cm="1">
        <f t="array" ref="S45">IFERROR(INDEX(Einstellungen!$E$9:$E$84,MATCH(SMALL(IF(ISTEXT(Einstellungen!$E$9:$E$84),Einstellungen!$D$9:$D$84),ROW()-8),Einstellungen!$D$9:$D$84,0))," ")</f>
        <v xml:space="preserve"> </v>
      </c>
    </row>
    <row r="46" spans="2:19" ht="30" customHeight="1" x14ac:dyDescent="0.25">
      <c r="D46" s="121"/>
      <c r="E46" s="122"/>
      <c r="F46" s="123"/>
      <c r="G46" s="121"/>
      <c r="H46" s="73"/>
      <c r="S46" s="245" t="str" cm="1">
        <f t="array" ref="S46">IFERROR(INDEX(Einstellungen!$E$9:$E$84,MATCH(SMALL(IF(ISTEXT(Einstellungen!$E$9:$E$84),Einstellungen!$D$9:$D$84),ROW()-8),Einstellungen!$D$9:$D$84,0))," ")</f>
        <v xml:space="preserve"> </v>
      </c>
    </row>
    <row r="47" spans="2:19" ht="30" customHeight="1" x14ac:dyDescent="0.25">
      <c r="D47" s="121"/>
      <c r="E47" s="122"/>
      <c r="F47" s="123"/>
      <c r="G47" s="121"/>
      <c r="H47" s="73"/>
      <c r="S47" s="245" t="str" cm="1">
        <f t="array" ref="S47">IFERROR(INDEX(Einstellungen!$E$9:$E$84,MATCH(SMALL(IF(ISTEXT(Einstellungen!$E$9:$E$84),Einstellungen!$D$9:$D$84),ROW()-8),Einstellungen!$D$9:$D$84,0))," ")</f>
        <v xml:space="preserve"> </v>
      </c>
    </row>
    <row r="48" spans="2:19" ht="30" customHeight="1" x14ac:dyDescent="0.25">
      <c r="D48" s="121"/>
      <c r="E48" s="122"/>
      <c r="F48" s="123"/>
      <c r="G48" s="121"/>
      <c r="H48" s="73"/>
      <c r="S48" s="245" t="str" cm="1">
        <f t="array" ref="S48">IFERROR(INDEX(Einstellungen!$E$9:$E$84,MATCH(SMALL(IF(ISTEXT(Einstellungen!$E$9:$E$84),Einstellungen!$D$9:$D$84),ROW()-8),Einstellungen!$D$9:$D$84,0))," ")</f>
        <v xml:space="preserve"> </v>
      </c>
    </row>
    <row r="49" spans="4:19" ht="30" customHeight="1" x14ac:dyDescent="0.25">
      <c r="D49" s="121"/>
      <c r="E49" s="122"/>
      <c r="F49" s="123"/>
      <c r="G49" s="121"/>
      <c r="H49" s="73"/>
      <c r="S49" s="245" t="str" cm="1">
        <f t="array" ref="S49">IFERROR(INDEX(Einstellungen!$E$9:$E$84,MATCH(SMALL(IF(ISTEXT(Einstellungen!$E$9:$E$84),Einstellungen!$D$9:$D$84),ROW()-8),Einstellungen!$D$9:$D$84,0))," ")</f>
        <v xml:space="preserve"> </v>
      </c>
    </row>
    <row r="50" spans="4:19" ht="30" customHeight="1" x14ac:dyDescent="0.25">
      <c r="D50" s="121"/>
      <c r="E50" s="122"/>
      <c r="F50" s="123"/>
      <c r="G50" s="121"/>
      <c r="H50" s="73"/>
      <c r="S50" s="245" t="str" cm="1">
        <f t="array" ref="S50">IFERROR(INDEX(Einstellungen!$E$9:$E$84,MATCH(SMALL(IF(ISTEXT(Einstellungen!$E$9:$E$84),Einstellungen!$D$9:$D$84),ROW()-8),Einstellungen!$D$9:$D$84,0))," ")</f>
        <v xml:space="preserve"> </v>
      </c>
    </row>
    <row r="51" spans="4:19" ht="30" customHeight="1" x14ac:dyDescent="0.25">
      <c r="D51" s="121"/>
      <c r="E51" s="122"/>
      <c r="F51" s="123"/>
      <c r="G51" s="121"/>
      <c r="H51" s="73"/>
      <c r="S51" s="245" t="str" cm="1">
        <f t="array" ref="S51">IFERROR(INDEX(Einstellungen!$E$9:$E$84,MATCH(SMALL(IF(ISTEXT(Einstellungen!$E$9:$E$84),Einstellungen!$D$9:$D$84),ROW()-8),Einstellungen!$D$9:$D$84,0))," ")</f>
        <v xml:space="preserve"> </v>
      </c>
    </row>
    <row r="52" spans="4:19" ht="30" customHeight="1" x14ac:dyDescent="0.25">
      <c r="D52" s="121"/>
      <c r="E52" s="122"/>
      <c r="F52" s="123"/>
      <c r="G52" s="121"/>
      <c r="H52" s="73"/>
      <c r="S52" s="245" t="str" cm="1">
        <f t="array" ref="S52">IFERROR(INDEX(Einstellungen!$E$9:$E$84,MATCH(SMALL(IF(ISTEXT(Einstellungen!$E$9:$E$84),Einstellungen!$D$9:$D$84),ROW()-8),Einstellungen!$D$9:$D$84,0))," ")</f>
        <v xml:space="preserve"> </v>
      </c>
    </row>
    <row r="53" spans="4:19" ht="30" customHeight="1" x14ac:dyDescent="0.25">
      <c r="D53" s="121"/>
      <c r="E53" s="122"/>
      <c r="F53" s="123"/>
      <c r="G53" s="121"/>
      <c r="H53" s="73"/>
      <c r="S53" s="245" t="str" cm="1">
        <f t="array" ref="S53">IFERROR(INDEX(Einstellungen!$E$9:$E$84,MATCH(SMALL(IF(ISTEXT(Einstellungen!$E$9:$E$84),Einstellungen!$D$9:$D$84),ROW()-8),Einstellungen!$D$9:$D$84,0))," ")</f>
        <v xml:space="preserve"> </v>
      </c>
    </row>
    <row r="54" spans="4:19" ht="30" customHeight="1" x14ac:dyDescent="0.25">
      <c r="D54" s="121"/>
      <c r="E54" s="122"/>
      <c r="F54" s="123"/>
      <c r="G54" s="121"/>
      <c r="H54" s="73"/>
      <c r="S54" s="245" t="str" cm="1">
        <f t="array" ref="S54">IFERROR(INDEX(Einstellungen!$E$9:$E$84,MATCH(SMALL(IF(ISTEXT(Einstellungen!$E$9:$E$84),Einstellungen!$D$9:$D$84),ROW()-8),Einstellungen!$D$9:$D$84,0))," ")</f>
        <v xml:space="preserve"> </v>
      </c>
    </row>
    <row r="55" spans="4:19" ht="30" customHeight="1" x14ac:dyDescent="0.25">
      <c r="D55" s="121"/>
      <c r="E55" s="122"/>
      <c r="F55" s="123"/>
      <c r="G55" s="121"/>
      <c r="H55" s="73"/>
      <c r="S55" s="245" t="str" cm="1">
        <f t="array" ref="S55">IFERROR(INDEX(Einstellungen!$E$9:$E$84,MATCH(SMALL(IF(ISTEXT(Einstellungen!$E$9:$E$84),Einstellungen!$D$9:$D$84),ROW()-8),Einstellungen!$D$9:$D$84,0))," ")</f>
        <v xml:space="preserve"> </v>
      </c>
    </row>
    <row r="56" spans="4:19" ht="30" customHeight="1" x14ac:dyDescent="0.25">
      <c r="D56" s="121"/>
      <c r="E56" s="122"/>
      <c r="F56" s="123"/>
      <c r="G56" s="121"/>
      <c r="H56" s="73"/>
      <c r="S56" s="245" t="str" cm="1">
        <f t="array" ref="S56">IFERROR(INDEX(Einstellungen!$E$9:$E$84,MATCH(SMALL(IF(ISTEXT(Einstellungen!$E$9:$E$84),Einstellungen!$D$9:$D$84),ROW()-8),Einstellungen!$D$9:$D$84,0))," ")</f>
        <v xml:space="preserve"> </v>
      </c>
    </row>
    <row r="57" spans="4:19" ht="30" customHeight="1" x14ac:dyDescent="0.25">
      <c r="D57" s="121"/>
      <c r="E57" s="122"/>
      <c r="F57" s="123"/>
      <c r="G57" s="121"/>
      <c r="H57" s="73"/>
      <c r="S57" s="245" t="str" cm="1">
        <f t="array" ref="S57">IFERROR(INDEX(Einstellungen!$E$9:$E$84,MATCH(SMALL(IF(ISTEXT(Einstellungen!$E$9:$E$84),Einstellungen!$D$9:$D$84),ROW()-8),Einstellungen!$D$9:$D$84,0))," ")</f>
        <v xml:space="preserve"> </v>
      </c>
    </row>
    <row r="58" spans="4:19" ht="30" customHeight="1" x14ac:dyDescent="0.25">
      <c r="D58" s="121"/>
      <c r="E58" s="122"/>
      <c r="F58" s="123"/>
      <c r="G58" s="121"/>
      <c r="H58" s="73"/>
      <c r="S58" s="245" t="str" cm="1">
        <f t="array" ref="S58">IFERROR(INDEX(Einstellungen!$E$9:$E$84,MATCH(SMALL(IF(ISTEXT(Einstellungen!$E$9:$E$84),Einstellungen!$D$9:$D$84),ROW()-8),Einstellungen!$D$9:$D$84,0))," ")</f>
        <v xml:space="preserve"> </v>
      </c>
    </row>
    <row r="59" spans="4:19" ht="30" customHeight="1" x14ac:dyDescent="0.25">
      <c r="D59" s="121"/>
      <c r="E59" s="122"/>
      <c r="F59" s="123"/>
      <c r="G59" s="121"/>
      <c r="H59" s="73"/>
      <c r="S59" s="245" t="str" cm="1">
        <f t="array" ref="S59">IFERROR(INDEX(Einstellungen!$E$9:$E$84,MATCH(SMALL(IF(ISTEXT(Einstellungen!$E$9:$E$84),Einstellungen!$D$9:$D$84),ROW()-8),Einstellungen!$D$9:$D$84,0))," ")</f>
        <v xml:space="preserve"> </v>
      </c>
    </row>
    <row r="60" spans="4:19" ht="30" customHeight="1" x14ac:dyDescent="0.25">
      <c r="D60" s="121"/>
      <c r="E60" s="122"/>
      <c r="F60" s="123"/>
      <c r="G60" s="121"/>
      <c r="H60" s="73"/>
      <c r="S60" s="245" t="str" cm="1">
        <f t="array" ref="S60">IFERROR(INDEX(Einstellungen!$E$9:$E$84,MATCH(SMALL(IF(ISTEXT(Einstellungen!$E$9:$E$84),Einstellungen!$D$9:$D$84),ROW()-8),Einstellungen!$D$9:$D$84,0))," ")</f>
        <v xml:space="preserve"> </v>
      </c>
    </row>
    <row r="61" spans="4:19" ht="30" customHeight="1" x14ac:dyDescent="0.25">
      <c r="D61" s="121"/>
      <c r="E61" s="122"/>
      <c r="F61" s="123"/>
      <c r="G61" s="121"/>
      <c r="H61" s="73"/>
      <c r="S61" s="245" t="str" cm="1">
        <f t="array" ref="S61">IFERROR(INDEX(Einstellungen!$E$9:$E$84,MATCH(SMALL(IF(ISTEXT(Einstellungen!$E$9:$E$84),Einstellungen!$D$9:$D$84),ROW()-8),Einstellungen!$D$9:$D$84,0))," ")</f>
        <v xml:space="preserve"> </v>
      </c>
    </row>
    <row r="62" spans="4:19" ht="30" customHeight="1" x14ac:dyDescent="0.25">
      <c r="D62" s="121"/>
      <c r="E62" s="122"/>
      <c r="F62" s="123"/>
      <c r="G62" s="121"/>
      <c r="H62" s="73"/>
      <c r="S62" s="245" t="str" cm="1">
        <f t="array" ref="S62">IFERROR(INDEX(Einstellungen!$E$9:$E$84,MATCH(SMALL(IF(ISTEXT(Einstellungen!$E$9:$E$84),Einstellungen!$D$9:$D$84),ROW()-8),Einstellungen!$D$9:$D$84,0))," ")</f>
        <v xml:space="preserve"> </v>
      </c>
    </row>
    <row r="63" spans="4:19" ht="30" customHeight="1" x14ac:dyDescent="0.25">
      <c r="D63" s="121"/>
      <c r="E63" s="122"/>
      <c r="F63" s="123"/>
      <c r="G63" s="121"/>
      <c r="H63" s="73"/>
      <c r="S63" s="245" t="str" cm="1">
        <f t="array" ref="S63">IFERROR(INDEX(Einstellungen!$E$9:$E$84,MATCH(SMALL(IF(ISTEXT(Einstellungen!$E$9:$E$84),Einstellungen!$D$9:$D$84),ROW()-8),Einstellungen!$D$9:$D$84,0))," ")</f>
        <v xml:space="preserve"> </v>
      </c>
    </row>
    <row r="64" spans="4:19" ht="30" customHeight="1" x14ac:dyDescent="0.25">
      <c r="D64" s="121"/>
      <c r="E64" s="122"/>
      <c r="F64" s="123"/>
      <c r="G64" s="121"/>
      <c r="H64" s="73"/>
      <c r="S64" s="245" t="str" cm="1">
        <f t="array" ref="S64">IFERROR(INDEX(Einstellungen!$E$9:$E$84,MATCH(SMALL(IF(ISTEXT(Einstellungen!$E$9:$E$84),Einstellungen!$D$9:$D$84),ROW()-8),Einstellungen!$D$9:$D$84,0))," ")</f>
        <v xml:space="preserve"> </v>
      </c>
    </row>
    <row r="65" spans="4:19" ht="30" customHeight="1" x14ac:dyDescent="0.25">
      <c r="D65" s="121"/>
      <c r="E65" s="122"/>
      <c r="F65" s="123"/>
      <c r="G65" s="121"/>
      <c r="H65" s="73"/>
      <c r="S65" s="245" t="str" cm="1">
        <f t="array" ref="S65">IFERROR(INDEX(Einstellungen!$E$9:$E$84,MATCH(SMALL(IF(ISTEXT(Einstellungen!$E$9:$E$84),Einstellungen!$D$9:$D$84),ROW()-8),Einstellungen!$D$9:$D$84,0))," ")</f>
        <v xml:space="preserve"> </v>
      </c>
    </row>
    <row r="66" spans="4:19" ht="30" customHeight="1" x14ac:dyDescent="0.25">
      <c r="D66" s="121"/>
      <c r="E66" s="122"/>
      <c r="F66" s="123"/>
      <c r="G66" s="121"/>
      <c r="H66" s="73"/>
      <c r="S66" s="245" t="str" cm="1">
        <f t="array" ref="S66">IFERROR(INDEX(Einstellungen!$E$9:$E$84,MATCH(SMALL(IF(ISTEXT(Einstellungen!$E$9:$E$84),Einstellungen!$D$9:$D$84),ROW()-8),Einstellungen!$D$9:$D$84,0))," ")</f>
        <v xml:space="preserve"> </v>
      </c>
    </row>
    <row r="67" spans="4:19" ht="30" customHeight="1" x14ac:dyDescent="0.25">
      <c r="D67" s="121"/>
      <c r="E67" s="122"/>
      <c r="F67" s="123"/>
      <c r="G67" s="121"/>
      <c r="H67" s="73"/>
      <c r="S67" s="245" t="str" cm="1">
        <f t="array" ref="S67">IFERROR(INDEX(Einstellungen!$E$9:$E$84,MATCH(SMALL(IF(ISTEXT(Einstellungen!$E$9:$E$84),Einstellungen!$D$9:$D$84),ROW()-8),Einstellungen!$D$9:$D$84,0))," ")</f>
        <v xml:space="preserve"> </v>
      </c>
    </row>
    <row r="68" spans="4:19" ht="30" customHeight="1" x14ac:dyDescent="0.25">
      <c r="D68" s="121"/>
      <c r="E68" s="122"/>
      <c r="F68" s="123"/>
      <c r="G68" s="121"/>
      <c r="H68" s="73"/>
      <c r="S68" s="245" t="str" cm="1">
        <f t="array" ref="S68">IFERROR(INDEX(Einstellungen!$E$9:$E$84,MATCH(SMALL(IF(ISTEXT(Einstellungen!$E$9:$E$84),Einstellungen!$D$9:$D$84),ROW()-8),Einstellungen!$D$9:$D$84,0))," ")</f>
        <v xml:space="preserve"> </v>
      </c>
    </row>
    <row r="69" spans="4:19" ht="30" customHeight="1" x14ac:dyDescent="0.25">
      <c r="D69" s="121"/>
      <c r="E69" s="122"/>
      <c r="F69" s="123"/>
      <c r="G69" s="121"/>
      <c r="H69" s="73"/>
      <c r="S69" s="245" t="str" cm="1">
        <f t="array" ref="S69">IFERROR(INDEX(Einstellungen!$E$9:$E$84,MATCH(SMALL(IF(ISTEXT(Einstellungen!$E$9:$E$84),Einstellungen!$D$9:$D$84),ROW()-8),Einstellungen!$D$9:$D$84,0))," ")</f>
        <v xml:space="preserve"> </v>
      </c>
    </row>
    <row r="70" spans="4:19" ht="30" customHeight="1" x14ac:dyDescent="0.25">
      <c r="D70" s="121"/>
      <c r="E70" s="122"/>
      <c r="F70" s="123"/>
      <c r="G70" s="121"/>
      <c r="H70" s="73"/>
      <c r="S70" s="245" t="str" cm="1">
        <f t="array" ref="S70">IFERROR(INDEX(Einstellungen!$E$9:$E$84,MATCH(SMALL(IF(ISTEXT(Einstellungen!$E$9:$E$84),Einstellungen!$D$9:$D$84),ROW()-8),Einstellungen!$D$9:$D$84,0))," ")</f>
        <v xml:space="preserve"> </v>
      </c>
    </row>
    <row r="71" spans="4:19" ht="30" customHeight="1" x14ac:dyDescent="0.25">
      <c r="D71" s="121"/>
      <c r="E71" s="122"/>
      <c r="F71" s="123"/>
      <c r="G71" s="121"/>
      <c r="H71" s="73"/>
      <c r="S71" s="245" t="str" cm="1">
        <f t="array" ref="S71">IFERROR(INDEX(Einstellungen!$E$9:$E$84,MATCH(SMALL(IF(ISTEXT(Einstellungen!$E$9:$E$84),Einstellungen!$D$9:$D$84),ROW()-8),Einstellungen!$D$9:$D$84,0))," ")</f>
        <v xml:space="preserve"> </v>
      </c>
    </row>
    <row r="72" spans="4:19" ht="30" customHeight="1" x14ac:dyDescent="0.25">
      <c r="D72" s="121"/>
      <c r="E72" s="122"/>
      <c r="F72" s="123"/>
      <c r="G72" s="121"/>
      <c r="H72" s="73"/>
      <c r="S72" s="245" t="str" cm="1">
        <f t="array" ref="S72">IFERROR(INDEX(Einstellungen!$E$9:$E$84,MATCH(SMALL(IF(ISTEXT(Einstellungen!$E$9:$E$84),Einstellungen!$D$9:$D$84),ROW()-8),Einstellungen!$D$9:$D$84,0))," ")</f>
        <v xml:space="preserve"> </v>
      </c>
    </row>
    <row r="73" spans="4:19" ht="30" customHeight="1" x14ac:dyDescent="0.25">
      <c r="D73" s="121"/>
      <c r="E73" s="122"/>
      <c r="F73" s="123"/>
      <c r="G73" s="121"/>
      <c r="H73" s="73"/>
      <c r="S73" s="245" t="str" cm="1">
        <f t="array" ref="S73">IFERROR(INDEX(Einstellungen!$E$9:$E$84,MATCH(SMALL(IF(ISTEXT(Einstellungen!$E$9:$E$84),Einstellungen!$D$9:$D$84),ROW()-8),Einstellungen!$D$9:$D$84,0))," ")</f>
        <v xml:space="preserve"> </v>
      </c>
    </row>
    <row r="74" spans="4:19" ht="30" customHeight="1" x14ac:dyDescent="0.25">
      <c r="D74" s="121"/>
      <c r="E74" s="122"/>
      <c r="F74" s="123"/>
      <c r="G74" s="121"/>
      <c r="H74" s="73"/>
      <c r="S74" s="245" t="str" cm="1">
        <f t="array" ref="S74">IFERROR(INDEX(Einstellungen!$E$9:$E$84,MATCH(SMALL(IF(ISTEXT(Einstellungen!$E$9:$E$84),Einstellungen!$D$9:$D$84),ROW()-8),Einstellungen!$D$9:$D$84,0))," ")</f>
        <v xml:space="preserve"> </v>
      </c>
    </row>
    <row r="75" spans="4:19" ht="30" customHeight="1" x14ac:dyDescent="0.25">
      <c r="D75" s="121"/>
      <c r="E75" s="122"/>
      <c r="F75" s="123"/>
      <c r="G75" s="121"/>
      <c r="H75" s="73"/>
      <c r="S75" s="245" t="str" cm="1">
        <f t="array" ref="S75">IFERROR(INDEX(Einstellungen!$E$9:$E$84,MATCH(SMALL(IF(ISTEXT(Einstellungen!$E$9:$E$84),Einstellungen!$D$9:$D$84),ROW()-8),Einstellungen!$D$9:$D$84,0))," ")</f>
        <v xml:space="preserve"> </v>
      </c>
    </row>
    <row r="76" spans="4:19" ht="30" customHeight="1" x14ac:dyDescent="0.25">
      <c r="D76" s="121"/>
      <c r="E76" s="122"/>
      <c r="F76" s="123"/>
      <c r="G76" s="121"/>
      <c r="H76" s="73"/>
      <c r="S76" s="245" t="str" cm="1">
        <f t="array" ref="S76">IFERROR(INDEX(Einstellungen!$E$9:$E$84,MATCH(SMALL(IF(ISTEXT(Einstellungen!$E$9:$E$84),Einstellungen!$D$9:$D$84),ROW()-8),Einstellungen!$D$9:$D$84,0))," ")</f>
        <v xml:space="preserve"> </v>
      </c>
    </row>
    <row r="77" spans="4:19" ht="30" customHeight="1" x14ac:dyDescent="0.25">
      <c r="D77" s="121"/>
      <c r="E77" s="122"/>
      <c r="F77" s="123"/>
      <c r="G77" s="121"/>
      <c r="H77" s="73"/>
      <c r="S77" s="245" t="str" cm="1">
        <f t="array" ref="S77">IFERROR(INDEX(Einstellungen!$E$9:$E$84,MATCH(SMALL(IF(ISTEXT(Einstellungen!$E$9:$E$84),Einstellungen!$D$9:$D$84),ROW()-8),Einstellungen!$D$9:$D$84,0))," ")</f>
        <v xml:space="preserve"> </v>
      </c>
    </row>
    <row r="78" spans="4:19" ht="30" customHeight="1" x14ac:dyDescent="0.25">
      <c r="D78" s="121"/>
      <c r="E78" s="122"/>
      <c r="F78" s="123"/>
      <c r="G78" s="121"/>
      <c r="H78" s="73"/>
      <c r="S78" s="245" t="str" cm="1">
        <f t="array" ref="S78">IFERROR(INDEX(Einstellungen!$E$9:$E$84,MATCH(SMALL(IF(ISTEXT(Einstellungen!$E$9:$E$84),Einstellungen!$D$9:$D$84),ROW()-8),Einstellungen!$D$9:$D$84,0))," ")</f>
        <v xml:space="preserve"> </v>
      </c>
    </row>
    <row r="79" spans="4:19" ht="30" customHeight="1" x14ac:dyDescent="0.25">
      <c r="D79" s="121"/>
      <c r="E79" s="122"/>
      <c r="F79" s="123"/>
      <c r="G79" s="121"/>
      <c r="H79" s="73"/>
      <c r="S79" s="245" t="str" cm="1">
        <f t="array" ref="S79">IFERROR(INDEX(Einstellungen!$E$9:$E$84,MATCH(SMALL(IF(ISTEXT(Einstellungen!$E$9:$E$84),Einstellungen!$D$9:$D$84),ROW()-8),Einstellungen!$D$9:$D$84,0))," ")</f>
        <v xml:space="preserve"> </v>
      </c>
    </row>
    <row r="80" spans="4:19" ht="30" customHeight="1" x14ac:dyDescent="0.25">
      <c r="D80" s="121"/>
      <c r="E80" s="122"/>
      <c r="F80" s="123"/>
      <c r="G80" s="121"/>
      <c r="H80" s="73"/>
      <c r="S80" s="245" t="str" cm="1">
        <f t="array" ref="S80">IFERROR(INDEX(Einstellungen!$E$9:$E$84,MATCH(SMALL(IF(ISTEXT(Einstellungen!$E$9:$E$84),Einstellungen!$D$9:$D$84),ROW()-8),Einstellungen!$D$9:$D$84,0))," ")</f>
        <v xml:space="preserve"> </v>
      </c>
    </row>
    <row r="81" spans="4:19" ht="30" customHeight="1" x14ac:dyDescent="0.25">
      <c r="D81" s="121"/>
      <c r="E81" s="122"/>
      <c r="F81" s="123"/>
      <c r="G81" s="121"/>
      <c r="H81" s="73"/>
      <c r="S81" s="245" t="str" cm="1">
        <f t="array" ref="S81">IFERROR(INDEX(Einstellungen!$E$9:$E$84,MATCH(SMALL(IF(ISTEXT(Einstellungen!$E$9:$E$84),Einstellungen!$D$9:$D$84),ROW()-8),Einstellungen!$D$9:$D$84,0))," ")</f>
        <v xml:space="preserve"> </v>
      </c>
    </row>
    <row r="82" spans="4:19" ht="30" customHeight="1" x14ac:dyDescent="0.25">
      <c r="D82" s="121"/>
      <c r="E82" s="122"/>
      <c r="F82" s="123"/>
      <c r="G82" s="121"/>
      <c r="H82" s="73"/>
      <c r="S82" s="245" t="str" cm="1">
        <f t="array" ref="S82">IFERROR(INDEX(Einstellungen!$E$9:$E$84,MATCH(SMALL(IF(ISTEXT(Einstellungen!$E$9:$E$84),Einstellungen!$D$9:$D$84),ROW()-8),Einstellungen!$D$9:$D$84,0))," ")</f>
        <v xml:space="preserve"> </v>
      </c>
    </row>
    <row r="83" spans="4:19" ht="30" customHeight="1" x14ac:dyDescent="0.25">
      <c r="D83" s="121"/>
      <c r="E83" s="122"/>
      <c r="F83" s="123"/>
      <c r="G83" s="121"/>
      <c r="H83" s="73"/>
      <c r="S83" s="245" t="str" cm="1">
        <f t="array" ref="S83">IFERROR(INDEX(Einstellungen!$E$9:$E$84,MATCH(SMALL(IF(ISTEXT(Einstellungen!$E$9:$E$84),Einstellungen!$D$9:$D$84),ROW()-8),Einstellungen!$D$9:$D$84,0))," ")</f>
        <v xml:space="preserve"> </v>
      </c>
    </row>
    <row r="84" spans="4:19" ht="30" customHeight="1" x14ac:dyDescent="0.25">
      <c r="D84" s="121"/>
      <c r="E84" s="122"/>
      <c r="F84" s="123"/>
      <c r="G84" s="121"/>
      <c r="H84" s="73"/>
      <c r="S84" s="245" t="str" cm="1">
        <f t="array" ref="S84">IFERROR(INDEX(Einstellungen!$E$9:$E$84,MATCH(SMALL(IF(ISTEXT(Einstellungen!$E$9:$E$84),Einstellungen!$D$9:$D$84),ROW()-8),Einstellungen!$D$9:$D$84,0))," ")</f>
        <v xml:space="preserve"> </v>
      </c>
    </row>
    <row r="85" spans="4:19" ht="24" customHeight="1" x14ac:dyDescent="0.25"/>
    <row r="86" spans="4:19" ht="24" customHeight="1" x14ac:dyDescent="0.25"/>
    <row r="87" spans="4:19" ht="24" customHeight="1" x14ac:dyDescent="0.25"/>
    <row r="88" spans="4:19" ht="24" customHeight="1" x14ac:dyDescent="0.25"/>
    <row r="89" spans="4:19" ht="24" customHeight="1" x14ac:dyDescent="0.25"/>
    <row r="90" spans="4:19" ht="24" customHeight="1" x14ac:dyDescent="0.25"/>
    <row r="91" spans="4:19" ht="24" customHeight="1" x14ac:dyDescent="0.25"/>
    <row r="92" spans="4:19" ht="24" customHeight="1" x14ac:dyDescent="0.25"/>
    <row r="93" spans="4:19" ht="24" customHeight="1" x14ac:dyDescent="0.25"/>
    <row r="94" spans="4:19" ht="24" customHeight="1" x14ac:dyDescent="0.25"/>
    <row r="95" spans="4:19" ht="24" customHeight="1" x14ac:dyDescent="0.25"/>
    <row r="96" spans="4:19" ht="24" customHeight="1" x14ac:dyDescent="0.25"/>
    <row r="97" ht="24" customHeight="1" x14ac:dyDescent="0.25"/>
    <row r="98" ht="24" customHeight="1" x14ac:dyDescent="0.25"/>
    <row r="99" ht="24" customHeight="1" x14ac:dyDescent="0.25"/>
    <row r="100" ht="24" customHeight="1" x14ac:dyDescent="0.25"/>
    <row r="101" ht="24" customHeight="1" x14ac:dyDescent="0.25"/>
    <row r="102" ht="24" customHeight="1" x14ac:dyDescent="0.25"/>
    <row r="103" ht="24" customHeight="1" x14ac:dyDescent="0.25"/>
    <row r="104" ht="24" customHeight="1" x14ac:dyDescent="0.25"/>
    <row r="105" ht="24" customHeight="1" x14ac:dyDescent="0.25"/>
    <row r="106" ht="24" customHeight="1" x14ac:dyDescent="0.25"/>
    <row r="107" ht="24" customHeight="1" x14ac:dyDescent="0.25"/>
    <row r="108" ht="24" customHeight="1" x14ac:dyDescent="0.25"/>
    <row r="109" ht="24" customHeight="1" x14ac:dyDescent="0.25"/>
    <row r="110" ht="24" customHeight="1" x14ac:dyDescent="0.25"/>
    <row r="111" ht="24" customHeight="1" x14ac:dyDescent="0.25"/>
    <row r="112" ht="24" customHeight="1" x14ac:dyDescent="0.25"/>
    <row r="113" ht="24" customHeight="1" x14ac:dyDescent="0.25"/>
    <row r="114" ht="24" customHeight="1" x14ac:dyDescent="0.25"/>
    <row r="115" ht="24" customHeight="1" x14ac:dyDescent="0.25"/>
    <row r="116" ht="24" customHeight="1" x14ac:dyDescent="0.25"/>
    <row r="117" ht="24" customHeight="1" x14ac:dyDescent="0.25"/>
    <row r="118" ht="24" customHeight="1" x14ac:dyDescent="0.25"/>
    <row r="119" ht="24" customHeight="1" x14ac:dyDescent="0.25"/>
    <row r="120" ht="24" customHeight="1" x14ac:dyDescent="0.25"/>
    <row r="121" ht="24" customHeight="1" x14ac:dyDescent="0.25"/>
    <row r="122" ht="24" customHeight="1" x14ac:dyDescent="0.25"/>
    <row r="123" ht="24" customHeight="1" x14ac:dyDescent="0.25"/>
    <row r="124" ht="24" customHeight="1" x14ac:dyDescent="0.25"/>
    <row r="125" ht="24" customHeight="1" x14ac:dyDescent="0.25"/>
    <row r="126" ht="24" customHeight="1" x14ac:dyDescent="0.25"/>
    <row r="127" ht="24" customHeight="1" x14ac:dyDescent="0.25"/>
    <row r="128" ht="24" customHeight="1" x14ac:dyDescent="0.25"/>
    <row r="129" ht="24" customHeight="1" x14ac:dyDescent="0.25"/>
    <row r="130" ht="24" customHeight="1" x14ac:dyDescent="0.25"/>
    <row r="131" ht="24" customHeight="1" x14ac:dyDescent="0.25"/>
    <row r="132" ht="24" customHeight="1" x14ac:dyDescent="0.25"/>
    <row r="133" ht="24" customHeight="1" x14ac:dyDescent="0.25"/>
    <row r="134" ht="24" customHeight="1" x14ac:dyDescent="0.25"/>
    <row r="135" ht="24" customHeight="1" x14ac:dyDescent="0.25"/>
    <row r="136" ht="24" customHeight="1" x14ac:dyDescent="0.25"/>
    <row r="137" ht="24" customHeight="1" x14ac:dyDescent="0.25"/>
    <row r="138" ht="24" customHeight="1" x14ac:dyDescent="0.25"/>
    <row r="139" ht="24" customHeight="1" x14ac:dyDescent="0.25"/>
    <row r="140" ht="24" customHeight="1" x14ac:dyDescent="0.25"/>
    <row r="141" ht="24" customHeight="1" x14ac:dyDescent="0.25"/>
    <row r="142" ht="24" customHeight="1" x14ac:dyDescent="0.25"/>
    <row r="143" ht="24" customHeight="1" x14ac:dyDescent="0.25"/>
    <row r="144" ht="24" customHeight="1" x14ac:dyDescent="0.25"/>
    <row r="145" ht="24" customHeight="1" x14ac:dyDescent="0.25"/>
    <row r="146" ht="20.25" customHeight="1" x14ac:dyDescent="0.25"/>
    <row r="147" ht="20.25" customHeight="1" x14ac:dyDescent="0.25"/>
    <row r="148" ht="20.25" customHeight="1" x14ac:dyDescent="0.25"/>
    <row r="149" ht="20.25" customHeight="1" x14ac:dyDescent="0.25"/>
  </sheetData>
  <sheetProtection algorithmName="SHA-512" hashValue="gDJAwwH1Q5G7pZRYDu5liUefKndiXgLtJbqvuV07SPpxJFsT+N61y4oOfnnu8PlymXCmJBv+pujrnHpgUvhEvw==" saltValue="rzKM0uqnrgV2bwZTJ45EFw==" spinCount="100000" sheet="1" selectLockedCells="1" sort="0" autoFilter="0"/>
  <mergeCells count="6">
    <mergeCell ref="I3:J3"/>
    <mergeCell ref="B36:B37"/>
    <mergeCell ref="A7:B7"/>
    <mergeCell ref="K3:M3"/>
    <mergeCell ref="D7:G7"/>
    <mergeCell ref="E3:G3"/>
  </mergeCells>
  <phoneticPr fontId="27" type="noConversion"/>
  <pageMargins left="0.7" right="0.7" top="0.78749999999999998" bottom="0.78749999999999998" header="0.51180555555555496" footer="0.51180555555555496"/>
  <pageSetup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92E4-3B9F-3143-81A5-CA6ECD9CB533}">
  <sheetPr codeName="Dienstplan19">
    <tabColor theme="4"/>
    <pageSetUpPr fitToPage="1"/>
  </sheetPr>
  <dimension ref="A1:BR113"/>
  <sheetViews>
    <sheetView showGridLines="0" zoomScale="70" zoomScaleNormal="70" workbookViewId="0">
      <selection activeCell="B19" sqref="B19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Januar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1.1.2024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45292</v>
      </c>
      <c r="D6" s="100">
        <f t="shared" ref="D6:AG6" si="0">IF(MONTH(DATE(YEAR($L$3),MONTH($L$3),COLUMN()-COLUMN($B6)))&gt;MONTH($L$3),"",DATE(YEAR($L$3),MONTH($L$3),COLUMN()-COLUMN($B6)))</f>
        <v>45293</v>
      </c>
      <c r="E6" s="100">
        <f t="shared" si="0"/>
        <v>45294</v>
      </c>
      <c r="F6" s="100">
        <f t="shared" si="0"/>
        <v>45295</v>
      </c>
      <c r="G6" s="100">
        <f t="shared" si="0"/>
        <v>45296</v>
      </c>
      <c r="H6" s="100">
        <f t="shared" si="0"/>
        <v>45297</v>
      </c>
      <c r="I6" s="100">
        <f t="shared" si="0"/>
        <v>45298</v>
      </c>
      <c r="J6" s="100">
        <f t="shared" si="0"/>
        <v>45299</v>
      </c>
      <c r="K6" s="100">
        <f t="shared" si="0"/>
        <v>45300</v>
      </c>
      <c r="L6" s="100">
        <f t="shared" si="0"/>
        <v>45301</v>
      </c>
      <c r="M6" s="100">
        <f t="shared" si="0"/>
        <v>45302</v>
      </c>
      <c r="N6" s="100">
        <f t="shared" si="0"/>
        <v>45303</v>
      </c>
      <c r="O6" s="100">
        <f t="shared" si="0"/>
        <v>45304</v>
      </c>
      <c r="P6" s="100">
        <f t="shared" si="0"/>
        <v>45305</v>
      </c>
      <c r="Q6" s="100">
        <f t="shared" si="0"/>
        <v>45306</v>
      </c>
      <c r="R6" s="100">
        <f t="shared" si="0"/>
        <v>45307</v>
      </c>
      <c r="S6" s="100">
        <f t="shared" si="0"/>
        <v>45308</v>
      </c>
      <c r="T6" s="100">
        <f t="shared" si="0"/>
        <v>45309</v>
      </c>
      <c r="U6" s="100">
        <f t="shared" si="0"/>
        <v>45310</v>
      </c>
      <c r="V6" s="100">
        <f t="shared" si="0"/>
        <v>45311</v>
      </c>
      <c r="W6" s="100">
        <f t="shared" si="0"/>
        <v>45312</v>
      </c>
      <c r="X6" s="100">
        <f t="shared" si="0"/>
        <v>45313</v>
      </c>
      <c r="Y6" s="100">
        <f t="shared" si="0"/>
        <v>45314</v>
      </c>
      <c r="Z6" s="100">
        <f t="shared" si="0"/>
        <v>45315</v>
      </c>
      <c r="AA6" s="100">
        <f t="shared" si="0"/>
        <v>45316</v>
      </c>
      <c r="AB6" s="100">
        <f t="shared" si="0"/>
        <v>45317</v>
      </c>
      <c r="AC6" s="100">
        <f t="shared" si="0"/>
        <v>45318</v>
      </c>
      <c r="AD6" s="100">
        <f t="shared" si="0"/>
        <v>45319</v>
      </c>
      <c r="AE6" s="100">
        <f t="shared" si="0"/>
        <v>45320</v>
      </c>
      <c r="AF6" s="100">
        <f t="shared" si="0"/>
        <v>45321</v>
      </c>
      <c r="AG6" s="101">
        <f t="shared" si="0"/>
        <v>45322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45292</v>
      </c>
      <c r="D7" s="103">
        <f t="shared" ref="D7:AG7" si="1">IF(MONTH(DATE(YEAR($L$3),MONTH($L$3),COLUMN()-COLUMN($B6)))&gt;MONTH($L$3),"",DATE(YEAR($L$3),MONTH($L$3),COLUMN()-COLUMN($B6)))</f>
        <v>45293</v>
      </c>
      <c r="E7" s="103">
        <f t="shared" si="1"/>
        <v>45294</v>
      </c>
      <c r="F7" s="103">
        <f t="shared" si="1"/>
        <v>45295</v>
      </c>
      <c r="G7" s="103">
        <f t="shared" si="1"/>
        <v>45296</v>
      </c>
      <c r="H7" s="103">
        <f t="shared" si="1"/>
        <v>45297</v>
      </c>
      <c r="I7" s="103">
        <f t="shared" si="1"/>
        <v>45298</v>
      </c>
      <c r="J7" s="103">
        <f t="shared" si="1"/>
        <v>45299</v>
      </c>
      <c r="K7" s="103">
        <f t="shared" si="1"/>
        <v>45300</v>
      </c>
      <c r="L7" s="103">
        <f t="shared" si="1"/>
        <v>45301</v>
      </c>
      <c r="M7" s="103">
        <f t="shared" si="1"/>
        <v>45302</v>
      </c>
      <c r="N7" s="103">
        <f t="shared" si="1"/>
        <v>45303</v>
      </c>
      <c r="O7" s="103">
        <f t="shared" si="1"/>
        <v>45304</v>
      </c>
      <c r="P7" s="103">
        <f t="shared" si="1"/>
        <v>45305</v>
      </c>
      <c r="Q7" s="103">
        <f t="shared" si="1"/>
        <v>45306</v>
      </c>
      <c r="R7" s="103">
        <f t="shared" si="1"/>
        <v>45307</v>
      </c>
      <c r="S7" s="103">
        <f t="shared" si="1"/>
        <v>45308</v>
      </c>
      <c r="T7" s="103">
        <f t="shared" si="1"/>
        <v>45309</v>
      </c>
      <c r="U7" s="103">
        <f t="shared" si="1"/>
        <v>45310</v>
      </c>
      <c r="V7" s="103">
        <f t="shared" si="1"/>
        <v>45311</v>
      </c>
      <c r="W7" s="103">
        <f t="shared" si="1"/>
        <v>45312</v>
      </c>
      <c r="X7" s="103">
        <f t="shared" si="1"/>
        <v>45313</v>
      </c>
      <c r="Y7" s="103">
        <f t="shared" si="1"/>
        <v>45314</v>
      </c>
      <c r="Z7" s="103">
        <f t="shared" si="1"/>
        <v>45315</v>
      </c>
      <c r="AA7" s="103">
        <f t="shared" si="1"/>
        <v>45316</v>
      </c>
      <c r="AB7" s="103">
        <f t="shared" si="1"/>
        <v>45317</v>
      </c>
      <c r="AC7" s="103">
        <f t="shared" si="1"/>
        <v>45318</v>
      </c>
      <c r="AD7" s="103">
        <f t="shared" si="1"/>
        <v>45319</v>
      </c>
      <c r="AE7" s="103">
        <f t="shared" si="1"/>
        <v>45320</v>
      </c>
      <c r="AF7" s="103">
        <f t="shared" si="1"/>
        <v>45321</v>
      </c>
      <c r="AG7" s="104">
        <f t="shared" si="1"/>
        <v>45322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1</v>
      </c>
      <c r="D8" s="67">
        <f>IFERROR(WEEKDAY(D6,2), 0)</f>
        <v>2</v>
      </c>
      <c r="E8" s="67">
        <f t="shared" ref="E8:AG8" si="2">IFERROR(WEEKDAY(E6,2), 0)</f>
        <v>3</v>
      </c>
      <c r="F8" s="67">
        <f t="shared" si="2"/>
        <v>4</v>
      </c>
      <c r="G8" s="67">
        <f t="shared" si="2"/>
        <v>5</v>
      </c>
      <c r="H8" s="67">
        <f t="shared" si="2"/>
        <v>6</v>
      </c>
      <c r="I8" s="67">
        <f t="shared" si="2"/>
        <v>7</v>
      </c>
      <c r="J8" s="67">
        <f t="shared" si="2"/>
        <v>1</v>
      </c>
      <c r="K8" s="67">
        <f t="shared" si="2"/>
        <v>2</v>
      </c>
      <c r="L8" s="67">
        <f t="shared" si="2"/>
        <v>3</v>
      </c>
      <c r="M8" s="67">
        <f t="shared" si="2"/>
        <v>4</v>
      </c>
      <c r="N8" s="67">
        <f t="shared" si="2"/>
        <v>5</v>
      </c>
      <c r="O8" s="67">
        <f t="shared" si="2"/>
        <v>6</v>
      </c>
      <c r="P8" s="67">
        <f t="shared" si="2"/>
        <v>7</v>
      </c>
      <c r="Q8" s="67">
        <f t="shared" si="2"/>
        <v>1</v>
      </c>
      <c r="R8" s="67">
        <f t="shared" si="2"/>
        <v>2</v>
      </c>
      <c r="S8" s="67">
        <f t="shared" si="2"/>
        <v>3</v>
      </c>
      <c r="T8" s="67">
        <f t="shared" si="2"/>
        <v>4</v>
      </c>
      <c r="U8" s="67">
        <f t="shared" si="2"/>
        <v>5</v>
      </c>
      <c r="V8" s="67">
        <f t="shared" si="2"/>
        <v>6</v>
      </c>
      <c r="W8" s="67">
        <f t="shared" si="2"/>
        <v>7</v>
      </c>
      <c r="X8" s="67">
        <f t="shared" si="2"/>
        <v>1</v>
      </c>
      <c r="Y8" s="67">
        <f t="shared" si="2"/>
        <v>2</v>
      </c>
      <c r="Z8" s="67">
        <f t="shared" si="2"/>
        <v>3</v>
      </c>
      <c r="AA8" s="67">
        <f t="shared" si="2"/>
        <v>4</v>
      </c>
      <c r="AB8" s="67">
        <f t="shared" si="2"/>
        <v>5</v>
      </c>
      <c r="AC8" s="67">
        <f t="shared" si="2"/>
        <v>6</v>
      </c>
      <c r="AD8" s="67">
        <f t="shared" si="2"/>
        <v>7</v>
      </c>
      <c r="AE8" s="67">
        <f t="shared" si="2"/>
        <v>1</v>
      </c>
      <c r="AF8" s="67">
        <f t="shared" si="2"/>
        <v>2</v>
      </c>
      <c r="AG8" s="71">
        <f t="shared" si="2"/>
        <v>3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>FT</v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>FT</v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>
        <f>IF(B10="","",VLOOKUP(B10,Einstellungen!$E$9:$F$99,2,FALSE))</f>
        <v>7304</v>
      </c>
      <c r="B10" s="47" t="s">
        <v>98</v>
      </c>
      <c r="C10" s="230" t="s">
        <v>106</v>
      </c>
      <c r="D10" s="50" t="s">
        <v>107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>
        <f>COUNTIF(C10:AM10,"U")</f>
        <v>0</v>
      </c>
      <c r="AP10" s="200">
        <f>AN10 - AO10</f>
        <v>0</v>
      </c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>
        <f>IF(B11="","",VLOOKUP(B11,Einstellungen!$E$9:$F$99,2,FALSE))</f>
        <v>4669</v>
      </c>
      <c r="B11" s="233" t="s">
        <v>83</v>
      </c>
      <c r="C11" s="231" t="s">
        <v>17</v>
      </c>
      <c r="D11" s="21" t="s">
        <v>17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2</v>
      </c>
      <c r="AI11" s="151" cm="1">
        <f t="array" ref="AI11">SUMPRODUCT(ISNUMBER(MATCH($C11:$AG11, Nachtschichten, 0)) * 1)</f>
        <v>0</v>
      </c>
      <c r="AJ11" s="157">
        <f>SUM(AH11:AI11)</f>
        <v>2</v>
      </c>
      <c r="AK11" s="197">
        <f t="shared" ref="AK11:AK49" si="3">AJ11*12</f>
        <v>24</v>
      </c>
      <c r="AL11" s="198">
        <f t="shared" ref="AL11:AL49" si="4">$AU11*12 + $AV11*6</f>
        <v>0</v>
      </c>
      <c r="AM11" s="199">
        <f t="shared" ref="AM11:AM49" si="5">$AS11*12 + $AT11*6 + $AW11*6</f>
        <v>12</v>
      </c>
      <c r="AN11" s="200"/>
      <c r="AO11" s="200">
        <f>COUNTIF(C11:AM11,"U")</f>
        <v>0</v>
      </c>
      <c r="AP11" s="200">
        <f>AN11 - AO11</f>
        <v>0</v>
      </c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1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>
        <f>IF(B12="","",VLOOKUP(B12,Einstellungen!$E$9:$F$99,2,FALSE))</f>
        <v>2222</v>
      </c>
      <c r="B12" s="233" t="s">
        <v>95</v>
      </c>
      <c r="C12" s="231" t="s">
        <v>18</v>
      </c>
      <c r="D12" s="21" t="s">
        <v>18</v>
      </c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2</v>
      </c>
      <c r="AJ12" s="157">
        <f t="shared" ref="AJ12:AJ49" si="7">SUM(AH12:AI12)</f>
        <v>2</v>
      </c>
      <c r="AK12" s="197">
        <f t="shared" si="3"/>
        <v>24</v>
      </c>
      <c r="AL12" s="198">
        <f t="shared" si="4"/>
        <v>0</v>
      </c>
      <c r="AM12" s="199">
        <f t="shared" si="5"/>
        <v>6</v>
      </c>
      <c r="AN12" s="200"/>
      <c r="AO12" s="200">
        <f>COUNTIF(C12:AM12,"U")</f>
        <v>0</v>
      </c>
      <c r="AP12" s="200">
        <f>AN12 - AO12</f>
        <v>0</v>
      </c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1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>
        <f>IF(B15="","",VLOOKUP(B15,Einstellungen!$E$9:$F$99,2,FALSE))</f>
        <v>1111</v>
      </c>
      <c r="B15" s="233" t="s">
        <v>94</v>
      </c>
      <c r="C15" s="231" t="s">
        <v>18</v>
      </c>
      <c r="D15" s="21" t="s">
        <v>18</v>
      </c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2</v>
      </c>
      <c r="AJ15" s="157">
        <f t="shared" si="7"/>
        <v>2</v>
      </c>
      <c r="AK15" s="197">
        <f t="shared" si="3"/>
        <v>24</v>
      </c>
      <c r="AL15" s="198">
        <f t="shared" si="4"/>
        <v>0</v>
      </c>
      <c r="AM15" s="199">
        <f t="shared" si="5"/>
        <v>6</v>
      </c>
      <c r="AN15" s="200"/>
      <c r="AO15" s="200">
        <f>COUNTIF(C15:AM15,"U")</f>
        <v>0</v>
      </c>
      <c r="AP15" s="200">
        <f>AN15 - AO15</f>
        <v>0</v>
      </c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1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>
        <f>IF(B16="","",VLOOKUP(B16,Einstellungen!$E$9:$F$99,2,FALSE))</f>
        <v>4775</v>
      </c>
      <c r="B16" s="233" t="s">
        <v>91</v>
      </c>
      <c r="C16" s="231" t="s">
        <v>17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1</v>
      </c>
      <c r="AI16" s="151" cm="1">
        <f t="array" ref="AI16">SUMPRODUCT(ISNUMBER(MATCH($C16:$AG16, Nachtschichten, 0)) * 1)</f>
        <v>0</v>
      </c>
      <c r="AJ16" s="157">
        <f t="shared" si="7"/>
        <v>1</v>
      </c>
      <c r="AK16" s="197">
        <f t="shared" si="3"/>
        <v>12</v>
      </c>
      <c r="AL16" s="198">
        <f t="shared" si="4"/>
        <v>0</v>
      </c>
      <c r="AM16" s="199">
        <f t="shared" si="5"/>
        <v>12</v>
      </c>
      <c r="AN16" s="200"/>
      <c r="AO16" s="200">
        <f>COUNTIF(C16:AM16,"U")</f>
        <v>0</v>
      </c>
      <c r="AP16" s="200">
        <f>AN16 - AO16</f>
        <v>0</v>
      </c>
      <c r="AQ16" s="201">
        <f t="shared" si="6"/>
        <v>0</v>
      </c>
      <c r="AR16" s="7"/>
      <c r="AS16" s="90" cm="1">
        <f t="array" ref="AS16">SUMPRODUCT(--(ISNUMBER(MATCH($C16:$AG16, Tagschichten, 0))) * (C$9:AG$9="FT"))</f>
        <v>1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>
        <f>IF(B18="","",VLOOKUP(B18,Einstellungen!$E$9:$F$99,2,FALSE))</f>
        <v>5162</v>
      </c>
      <c r="B18" s="233" t="s">
        <v>90</v>
      </c>
      <c r="C18" s="231"/>
      <c r="D18" s="21" t="s">
        <v>17</v>
      </c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1</v>
      </c>
      <c r="AI18" s="151" cm="1">
        <f t="array" ref="AI18">SUMPRODUCT(ISNUMBER(MATCH($C18:$AG18, Nachtschichten, 0)) * 1)</f>
        <v>0</v>
      </c>
      <c r="AJ18" s="157">
        <f t="shared" si="7"/>
        <v>1</v>
      </c>
      <c r="AK18" s="197">
        <f t="shared" si="3"/>
        <v>12</v>
      </c>
      <c r="AL18" s="198">
        <f t="shared" si="4"/>
        <v>0</v>
      </c>
      <c r="AM18" s="199">
        <f t="shared" si="5"/>
        <v>0</v>
      </c>
      <c r="AN18" s="200"/>
      <c r="AO18" s="200">
        <f>COUNTIF(C18:AM18,"U")</f>
        <v>0</v>
      </c>
      <c r="AP18" s="200">
        <f>AN18 - AO18</f>
        <v>0</v>
      </c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>
        <f>IF(B19="","",VLOOKUP(B19,Einstellungen!$E$9:$F$99,2,FALSE))</f>
        <v>7077</v>
      </c>
      <c r="B19" s="233" t="s">
        <v>87</v>
      </c>
      <c r="C19" s="231"/>
      <c r="D19" s="21" t="s">
        <v>106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>
        <f>COUNTIF(C19:AM19,"U")</f>
        <v>0</v>
      </c>
      <c r="AP19" s="200">
        <f>AN19 - AO19</f>
        <v>0</v>
      </c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>
        <f>IF(B20="","",VLOOKUP(B20,Einstellungen!$E$9:$F$99,2,FALSE))</f>
        <v>4444</v>
      </c>
      <c r="B20" s="233" t="s">
        <v>88</v>
      </c>
      <c r="C20" s="231" t="s">
        <v>107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>
        <f>COUNTIF(C20:AM20,"U")</f>
        <v>0</v>
      </c>
      <c r="AP20" s="200">
        <f>AN20 - AO20</f>
        <v>0</v>
      </c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4</v>
      </c>
      <c r="AI50" s="94">
        <f>SUM(AI$10:AI$49)</f>
        <v>4</v>
      </c>
      <c r="AJ50" s="159">
        <f t="shared" ref="AJ50:AQ50" si="8">SUM(AJ$10:AJ$49)</f>
        <v>8</v>
      </c>
      <c r="AK50" s="154">
        <f t="shared" si="8"/>
        <v>96</v>
      </c>
      <c r="AL50" s="94">
        <f t="shared" si="8"/>
        <v>0</v>
      </c>
      <c r="AM50" s="94">
        <f t="shared" si="8"/>
        <v>36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45292</v>
      </c>
      <c r="D78" s="160">
        <f t="shared" ref="D78:AG78" si="9">D7</f>
        <v>45293</v>
      </c>
      <c r="E78" s="160">
        <f t="shared" si="9"/>
        <v>45294</v>
      </c>
      <c r="F78" s="160">
        <f t="shared" si="9"/>
        <v>45295</v>
      </c>
      <c r="G78" s="160">
        <f t="shared" si="9"/>
        <v>45296</v>
      </c>
      <c r="H78" s="160">
        <f t="shared" si="9"/>
        <v>45297</v>
      </c>
      <c r="I78" s="160">
        <f t="shared" si="9"/>
        <v>45298</v>
      </c>
      <c r="J78" s="160">
        <f t="shared" si="9"/>
        <v>45299</v>
      </c>
      <c r="K78" s="160">
        <f t="shared" si="9"/>
        <v>45300</v>
      </c>
      <c r="L78" s="160">
        <f t="shared" si="9"/>
        <v>45301</v>
      </c>
      <c r="M78" s="160">
        <f t="shared" si="9"/>
        <v>45302</v>
      </c>
      <c r="N78" s="160">
        <f t="shared" si="9"/>
        <v>45303</v>
      </c>
      <c r="O78" s="160">
        <f t="shared" si="9"/>
        <v>45304</v>
      </c>
      <c r="P78" s="160">
        <f t="shared" si="9"/>
        <v>45305</v>
      </c>
      <c r="Q78" s="160">
        <f t="shared" si="9"/>
        <v>45306</v>
      </c>
      <c r="R78" s="160">
        <f t="shared" si="9"/>
        <v>45307</v>
      </c>
      <c r="S78" s="160">
        <f t="shared" si="9"/>
        <v>45308</v>
      </c>
      <c r="T78" s="160">
        <f t="shared" si="9"/>
        <v>45309</v>
      </c>
      <c r="U78" s="160">
        <f t="shared" si="9"/>
        <v>45310</v>
      </c>
      <c r="V78" s="160">
        <f t="shared" si="9"/>
        <v>45311</v>
      </c>
      <c r="W78" s="160">
        <f t="shared" si="9"/>
        <v>45312</v>
      </c>
      <c r="X78" s="160">
        <f t="shared" si="9"/>
        <v>45313</v>
      </c>
      <c r="Y78" s="160">
        <f t="shared" si="9"/>
        <v>45314</v>
      </c>
      <c r="Z78" s="160">
        <f t="shared" si="9"/>
        <v>45315</v>
      </c>
      <c r="AA78" s="160">
        <f t="shared" si="9"/>
        <v>45316</v>
      </c>
      <c r="AB78" s="160">
        <f t="shared" si="9"/>
        <v>45317</v>
      </c>
      <c r="AC78" s="160">
        <f t="shared" si="9"/>
        <v>45318</v>
      </c>
      <c r="AD78" s="160">
        <f t="shared" si="9"/>
        <v>45319</v>
      </c>
      <c r="AE78" s="160">
        <f t="shared" si="9"/>
        <v>45320</v>
      </c>
      <c r="AF78" s="160">
        <f t="shared" si="9"/>
        <v>45321</v>
      </c>
      <c r="AG78" s="160">
        <f t="shared" si="9"/>
        <v>45322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1</v>
      </c>
      <c r="D79" s="54">
        <f t="shared" si="11"/>
        <v>1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2</v>
      </c>
      <c r="D80" s="127">
        <f t="shared" si="12"/>
        <v>2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1</v>
      </c>
      <c r="D81" s="127">
        <f t="shared" si="13"/>
        <v>1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2</v>
      </c>
      <c r="D82" s="127">
        <f t="shared" si="14"/>
        <v>2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1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106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107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eH7JA3j26REPwWnni8AUH72w7OWtgT3SVKnBdtAlkvXouwvqbfVpmr9ELYVsekHvizRRe4ef5frmpEOu7UVhsg==" saltValue="QAPFkEebYFX2xpwQkYDFPA==" spinCount="100000" sheet="1" objects="1" scenarios="1" formatCells="0" selectLockedCells="1"/>
  <mergeCells count="58">
    <mergeCell ref="C108:E108"/>
    <mergeCell ref="F108:H108"/>
    <mergeCell ref="C105:E105"/>
    <mergeCell ref="F105:H105"/>
    <mergeCell ref="C106:E106"/>
    <mergeCell ref="F106:H106"/>
    <mergeCell ref="C107:E107"/>
    <mergeCell ref="F107:H107"/>
    <mergeCell ref="C103:E103"/>
    <mergeCell ref="F103:H103"/>
    <mergeCell ref="I103:J103"/>
    <mergeCell ref="C104:E104"/>
    <mergeCell ref="F104:H104"/>
    <mergeCell ref="I104:J104"/>
    <mergeCell ref="C101:E101"/>
    <mergeCell ref="F101:H101"/>
    <mergeCell ref="I101:J101"/>
    <mergeCell ref="C102:E102"/>
    <mergeCell ref="F102:H102"/>
    <mergeCell ref="I102:J102"/>
    <mergeCell ref="C99:E99"/>
    <mergeCell ref="F99:H99"/>
    <mergeCell ref="I99:J99"/>
    <mergeCell ref="C100:E100"/>
    <mergeCell ref="F100:H100"/>
    <mergeCell ref="I100:J100"/>
    <mergeCell ref="B76:N76"/>
    <mergeCell ref="C95:H95"/>
    <mergeCell ref="C96:H96"/>
    <mergeCell ref="C98:E98"/>
    <mergeCell ref="F98:H98"/>
    <mergeCell ref="I98:J98"/>
    <mergeCell ref="C94:H94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53:I53"/>
    <mergeCell ref="B54:I54"/>
    <mergeCell ref="B55:I55"/>
    <mergeCell ref="B56:I56"/>
    <mergeCell ref="B57:I57"/>
    <mergeCell ref="L3:S3"/>
    <mergeCell ref="AS4:AW4"/>
    <mergeCell ref="B6:B7"/>
    <mergeCell ref="AH6:AH7"/>
    <mergeCell ref="AI6:AI7"/>
    <mergeCell ref="AJ6:AJ7"/>
    <mergeCell ref="AQ6:AQ7"/>
  </mergeCells>
  <conditionalFormatting sqref="AQ10:AQ49">
    <cfRule type="cellIs" dxfId="695" priority="31" stopIfTrue="1" operator="greaterThan">
      <formula>0</formula>
    </cfRule>
    <cfRule type="cellIs" dxfId="694" priority="43" stopIfTrue="1" operator="equal">
      <formula>0</formula>
    </cfRule>
  </conditionalFormatting>
  <conditionalFormatting sqref="C6:AG9">
    <cfRule type="expression" dxfId="693" priority="41">
      <formula>C$9="FT"</formula>
    </cfRule>
    <cfRule type="expression" dxfId="692" priority="42">
      <formula>C$8&gt;5</formula>
    </cfRule>
  </conditionalFormatting>
  <conditionalFormatting sqref="B50">
    <cfRule type="expression" dxfId="691" priority="39">
      <formula>B$50="WS"</formula>
    </cfRule>
    <cfRule type="expression" dxfId="690" priority="40">
      <formula>B$50="SZ"</formula>
    </cfRule>
  </conditionalFormatting>
  <conditionalFormatting sqref="C10:AG49">
    <cfRule type="expression" dxfId="689" priority="1" stopIfTrue="1">
      <formula>C10="FS"</formula>
    </cfRule>
    <cfRule type="expression" dxfId="688" priority="2">
      <formula>C10="K"</formula>
    </cfRule>
    <cfRule type="expression" dxfId="687" priority="3">
      <formula>C10="U"</formula>
    </cfRule>
    <cfRule type="expression" dxfId="686" priority="19">
      <formula>OR(C10="PT", C10="PN")</formula>
    </cfRule>
    <cfRule type="expression" dxfId="685" priority="20">
      <formula>C10="KT"</formula>
    </cfRule>
    <cfRule type="expression" dxfId="684" priority="21">
      <formula>OR(C10="KT", C10="T1", C10="HT", C10="T")</formula>
    </cfRule>
    <cfRule type="expression" dxfId="683" priority="33">
      <formula>C10="KN"</formula>
    </cfRule>
    <cfRule type="expression" dxfId="682" priority="34">
      <formula>OR(C10="KN", C10="N1", C10="HN", C10="N")</formula>
    </cfRule>
    <cfRule type="expression" dxfId="681" priority="35">
      <formula>C$9="FT"</formula>
    </cfRule>
    <cfRule type="expression" dxfId="680" priority="36">
      <formula>C$8&gt;5</formula>
    </cfRule>
    <cfRule type="expression" dxfId="679" priority="37">
      <formula>C10="S"</formula>
    </cfRule>
    <cfRule type="expression" dxfId="678" priority="38">
      <formula>C10="F"</formula>
    </cfRule>
  </conditionalFormatting>
  <conditionalFormatting sqref="C50:AG50">
    <cfRule type="expression" dxfId="677" priority="32" stopIfTrue="1">
      <formula>C$50="S"</formula>
    </cfRule>
  </conditionalFormatting>
  <conditionalFormatting sqref="AI10:AI49">
    <cfRule type="cellIs" dxfId="676" priority="29" stopIfTrue="1" operator="equal">
      <formula>0</formula>
    </cfRule>
    <cfRule type="cellIs" dxfId="675" priority="30" operator="greaterThan">
      <formula>0</formula>
    </cfRule>
  </conditionalFormatting>
  <conditionalFormatting sqref="AM10:AM49">
    <cfRule type="cellIs" dxfId="674" priority="27" stopIfTrue="1" operator="equal">
      <formula>0</formula>
    </cfRule>
    <cfRule type="cellIs" dxfId="673" priority="28" operator="greaterThan">
      <formula>0</formula>
    </cfRule>
  </conditionalFormatting>
  <conditionalFormatting sqref="AH10:AH49">
    <cfRule type="cellIs" dxfId="672" priority="26" operator="equal">
      <formula>0</formula>
    </cfRule>
  </conditionalFormatting>
  <conditionalFormatting sqref="AJ10:AK49">
    <cfRule type="cellIs" dxfId="671" priority="25" operator="equal">
      <formula>0</formula>
    </cfRule>
  </conditionalFormatting>
  <conditionalFormatting sqref="AL10:AL49">
    <cfRule type="cellIs" dxfId="670" priority="24" operator="equal">
      <formula>0</formula>
    </cfRule>
  </conditionalFormatting>
  <conditionalFormatting sqref="AN10:AP49">
    <cfRule type="cellIs" dxfId="669" priority="22" operator="equal">
      <formula>0</formula>
    </cfRule>
    <cfRule type="cellIs" dxfId="668" priority="23" stopIfTrue="1" operator="greaterThan">
      <formula>0</formula>
    </cfRule>
  </conditionalFormatting>
  <conditionalFormatting sqref="C84:AG84">
    <cfRule type="expression" dxfId="667" priority="9" stopIfTrue="1">
      <formula>IF($B$84="",1,0)</formula>
    </cfRule>
    <cfRule type="expression" dxfId="666" priority="44" stopIfTrue="1">
      <formula>IF(C$84&lt;&gt;$C$104,1,0)</formula>
    </cfRule>
    <cfRule type="expression" dxfId="665" priority="45" stopIfTrue="1">
      <formula>IF(C$84=$C$104,1,0)</formula>
    </cfRule>
  </conditionalFormatting>
  <conditionalFormatting sqref="C85:AG85">
    <cfRule type="expression" dxfId="664" priority="10" stopIfTrue="1">
      <formula>IF($B$85="",1,0)</formula>
    </cfRule>
    <cfRule type="expression" dxfId="663" priority="46">
      <formula>IF(C$85=$C$105,1,0)</formula>
    </cfRule>
    <cfRule type="expression" dxfId="662" priority="47">
      <formula>IF(C$85&lt;&gt;$C$105,1,0)</formula>
    </cfRule>
  </conditionalFormatting>
  <conditionalFormatting sqref="C86:AG86">
    <cfRule type="expression" dxfId="661" priority="11" stopIfTrue="1">
      <formula>IF($B$86="",1,0)</formula>
    </cfRule>
    <cfRule type="expression" dxfId="660" priority="48" stopIfTrue="1">
      <formula>IF(C$86&lt;&gt;$C$106,1,0)</formula>
    </cfRule>
    <cfRule type="expression" dxfId="659" priority="49" stopIfTrue="1">
      <formula>IF(C$86=$C$106,1,0)</formula>
    </cfRule>
  </conditionalFormatting>
  <conditionalFormatting sqref="C79:AG79">
    <cfRule type="expression" dxfId="658" priority="4">
      <formula>IF($B$79="",1,0)</formula>
    </cfRule>
    <cfRule type="expression" dxfId="657" priority="50">
      <formula>IF(C$79=$C$99,1,0)</formula>
    </cfRule>
    <cfRule type="expression" dxfId="656" priority="51">
      <formula>IF(C$79&lt;&gt;$C$99,1,0)</formula>
    </cfRule>
  </conditionalFormatting>
  <conditionalFormatting sqref="C81:AG81">
    <cfRule type="expression" dxfId="655" priority="6">
      <formula>IF($B$81="",1,0)</formula>
    </cfRule>
    <cfRule type="expression" dxfId="654" priority="52">
      <formula>IF(C$81=$C$101,1,0)</formula>
    </cfRule>
    <cfRule type="expression" dxfId="653" priority="53">
      <formula>IF(C$81&lt;&gt;$C$101,1,0)</formula>
    </cfRule>
  </conditionalFormatting>
  <conditionalFormatting sqref="C80:AG80">
    <cfRule type="expression" dxfId="652" priority="5">
      <formula>IF($B$80="",1,0)</formula>
    </cfRule>
    <cfRule type="expression" dxfId="651" priority="54">
      <formula>IF(C$80&lt;&gt;$C$100,1,0)</formula>
    </cfRule>
    <cfRule type="expression" dxfId="650" priority="55">
      <formula>IF(C$80=$C$100,1,0)</formula>
    </cfRule>
  </conditionalFormatting>
  <conditionalFormatting sqref="C82:AG82">
    <cfRule type="expression" dxfId="649" priority="7">
      <formula>IF($B$82="",1,0)</formula>
    </cfRule>
    <cfRule type="expression" dxfId="648" priority="56">
      <formula>IF(C$82&lt;&gt;$C$102,1,0)</formula>
    </cfRule>
    <cfRule type="expression" dxfId="647" priority="57">
      <formula>IF(C$82=$C$102,1,0)</formula>
    </cfRule>
  </conditionalFormatting>
  <conditionalFormatting sqref="C83:AG83">
    <cfRule type="expression" dxfId="646" priority="8" stopIfTrue="1">
      <formula>IF($B$83="",1,0)</formula>
    </cfRule>
    <cfRule type="expression" dxfId="645" priority="58" stopIfTrue="1">
      <formula>IF(C$83=$C$103,1,0)</formula>
    </cfRule>
    <cfRule type="expression" dxfId="644" priority="59" stopIfTrue="1">
      <formula>IF(C$83&lt;&gt;$C$103,1,0)</formula>
    </cfRule>
  </conditionalFormatting>
  <conditionalFormatting sqref="C88:AG88">
    <cfRule type="expression" dxfId="643" priority="13" stopIfTrue="1">
      <formula>IF($B$88="",1,0)</formula>
    </cfRule>
    <cfRule type="expression" dxfId="642" priority="16" stopIfTrue="1">
      <formula>IF(C$88&lt;&gt;$C$108,1,0)</formula>
    </cfRule>
    <cfRule type="expression" dxfId="641" priority="17" stopIfTrue="1">
      <formula>IF(C$88=$C$108,1,0)</formula>
    </cfRule>
  </conditionalFormatting>
  <conditionalFormatting sqref="C87:AG87">
    <cfRule type="expression" dxfId="640" priority="12" stopIfTrue="1">
      <formula>IF($B$87="",1,0)</formula>
    </cfRule>
    <cfRule type="expression" dxfId="639" priority="14" stopIfTrue="1">
      <formula>IF(C$87&lt;&gt;$C$107,1,0)</formula>
    </cfRule>
    <cfRule type="expression" dxfId="638" priority="15" stopIfTrue="1">
      <formula>IF(C$87=$C$107,1,0)</formula>
    </cfRule>
  </conditionalFormatting>
  <dataValidations count="1">
    <dataValidation type="list" allowBlank="1" showInputMessage="1" showErrorMessage="1" sqref="B10:B49" xr:uid="{0490E2E4-13A5-7C48-ADBE-4FC412E396EE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7" orientation="landscape" r:id="rId1"/>
  <rowBreaks count="1" manualBreakCount="1">
    <brk id="78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0CEBF-F127-426D-98AD-E24180091224}">
  <sheetPr codeName="Dienstplan20">
    <tabColor theme="4"/>
    <pageSetUpPr fitToPage="1"/>
  </sheetPr>
  <dimension ref="A1:BR113"/>
  <sheetViews>
    <sheetView showGridLines="0" zoomScale="70" zoomScaleNormal="70" workbookViewId="0">
      <selection activeCell="F23" sqref="F23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Februar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1.2.2024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45323</v>
      </c>
      <c r="D6" s="100">
        <f t="shared" ref="D6:AG6" si="0">IF(MONTH(DATE(YEAR($L$3),MONTH($L$3),COLUMN()-COLUMN($B6)))&gt;MONTH($L$3),"",DATE(YEAR($L$3),MONTH($L$3),COLUMN()-COLUMN($B6)))</f>
        <v>45324</v>
      </c>
      <c r="E6" s="100">
        <f t="shared" si="0"/>
        <v>45325</v>
      </c>
      <c r="F6" s="100">
        <f t="shared" si="0"/>
        <v>45326</v>
      </c>
      <c r="G6" s="100">
        <f t="shared" si="0"/>
        <v>45327</v>
      </c>
      <c r="H6" s="100">
        <f t="shared" si="0"/>
        <v>45328</v>
      </c>
      <c r="I6" s="100">
        <f t="shared" si="0"/>
        <v>45329</v>
      </c>
      <c r="J6" s="100">
        <f t="shared" si="0"/>
        <v>45330</v>
      </c>
      <c r="K6" s="100">
        <f t="shared" si="0"/>
        <v>45331</v>
      </c>
      <c r="L6" s="100">
        <f t="shared" si="0"/>
        <v>45332</v>
      </c>
      <c r="M6" s="100">
        <f t="shared" si="0"/>
        <v>45333</v>
      </c>
      <c r="N6" s="100">
        <f t="shared" si="0"/>
        <v>45334</v>
      </c>
      <c r="O6" s="100">
        <f t="shared" si="0"/>
        <v>45335</v>
      </c>
      <c r="P6" s="100">
        <f t="shared" si="0"/>
        <v>45336</v>
      </c>
      <c r="Q6" s="100">
        <f t="shared" si="0"/>
        <v>45337</v>
      </c>
      <c r="R6" s="100">
        <f t="shared" si="0"/>
        <v>45338</v>
      </c>
      <c r="S6" s="100">
        <f t="shared" si="0"/>
        <v>45339</v>
      </c>
      <c r="T6" s="100">
        <f t="shared" si="0"/>
        <v>45340</v>
      </c>
      <c r="U6" s="100">
        <f t="shared" si="0"/>
        <v>45341</v>
      </c>
      <c r="V6" s="100">
        <f t="shared" si="0"/>
        <v>45342</v>
      </c>
      <c r="W6" s="100">
        <f t="shared" si="0"/>
        <v>45343</v>
      </c>
      <c r="X6" s="100">
        <f t="shared" si="0"/>
        <v>45344</v>
      </c>
      <c r="Y6" s="100">
        <f t="shared" si="0"/>
        <v>45345</v>
      </c>
      <c r="Z6" s="100">
        <f t="shared" si="0"/>
        <v>45346</v>
      </c>
      <c r="AA6" s="100">
        <f t="shared" si="0"/>
        <v>45347</v>
      </c>
      <c r="AB6" s="100">
        <f t="shared" si="0"/>
        <v>45348</v>
      </c>
      <c r="AC6" s="100">
        <f t="shared" si="0"/>
        <v>45349</v>
      </c>
      <c r="AD6" s="100">
        <f t="shared" si="0"/>
        <v>45350</v>
      </c>
      <c r="AE6" s="100">
        <f t="shared" si="0"/>
        <v>45351</v>
      </c>
      <c r="AF6" s="100" t="str">
        <f t="shared" si="0"/>
        <v/>
      </c>
      <c r="AG6" s="101" t="str">
        <f t="shared" si="0"/>
        <v/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45323</v>
      </c>
      <c r="D7" s="103">
        <f t="shared" ref="D7:AG7" si="1">IF(MONTH(DATE(YEAR($L$3),MONTH($L$3),COLUMN()-COLUMN($B6)))&gt;MONTH($L$3),"",DATE(YEAR($L$3),MONTH($L$3),COLUMN()-COLUMN($B6)))</f>
        <v>45324</v>
      </c>
      <c r="E7" s="103">
        <f t="shared" si="1"/>
        <v>45325</v>
      </c>
      <c r="F7" s="103">
        <f t="shared" si="1"/>
        <v>45326</v>
      </c>
      <c r="G7" s="103">
        <f t="shared" si="1"/>
        <v>45327</v>
      </c>
      <c r="H7" s="103">
        <f t="shared" si="1"/>
        <v>45328</v>
      </c>
      <c r="I7" s="103">
        <f t="shared" si="1"/>
        <v>45329</v>
      </c>
      <c r="J7" s="103">
        <f t="shared" si="1"/>
        <v>45330</v>
      </c>
      <c r="K7" s="103">
        <f t="shared" si="1"/>
        <v>45331</v>
      </c>
      <c r="L7" s="103">
        <f t="shared" si="1"/>
        <v>45332</v>
      </c>
      <c r="M7" s="103">
        <f t="shared" si="1"/>
        <v>45333</v>
      </c>
      <c r="N7" s="103">
        <f t="shared" si="1"/>
        <v>45334</v>
      </c>
      <c r="O7" s="103">
        <f t="shared" si="1"/>
        <v>45335</v>
      </c>
      <c r="P7" s="103">
        <f t="shared" si="1"/>
        <v>45336</v>
      </c>
      <c r="Q7" s="103">
        <f t="shared" si="1"/>
        <v>45337</v>
      </c>
      <c r="R7" s="103">
        <f t="shared" si="1"/>
        <v>45338</v>
      </c>
      <c r="S7" s="103">
        <f t="shared" si="1"/>
        <v>45339</v>
      </c>
      <c r="T7" s="103">
        <f t="shared" si="1"/>
        <v>45340</v>
      </c>
      <c r="U7" s="103">
        <f t="shared" si="1"/>
        <v>45341</v>
      </c>
      <c r="V7" s="103">
        <f t="shared" si="1"/>
        <v>45342</v>
      </c>
      <c r="W7" s="103">
        <f t="shared" si="1"/>
        <v>45343</v>
      </c>
      <c r="X7" s="103">
        <f t="shared" si="1"/>
        <v>45344</v>
      </c>
      <c r="Y7" s="103">
        <f t="shared" si="1"/>
        <v>45345</v>
      </c>
      <c r="Z7" s="103">
        <f t="shared" si="1"/>
        <v>45346</v>
      </c>
      <c r="AA7" s="103">
        <f t="shared" si="1"/>
        <v>45347</v>
      </c>
      <c r="AB7" s="103">
        <f t="shared" si="1"/>
        <v>45348</v>
      </c>
      <c r="AC7" s="103">
        <f t="shared" si="1"/>
        <v>45349</v>
      </c>
      <c r="AD7" s="103">
        <f t="shared" si="1"/>
        <v>45350</v>
      </c>
      <c r="AE7" s="103">
        <f t="shared" si="1"/>
        <v>45351</v>
      </c>
      <c r="AF7" s="103" t="str">
        <f t="shared" si="1"/>
        <v/>
      </c>
      <c r="AG7" s="104" t="str">
        <f t="shared" si="1"/>
        <v/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4</v>
      </c>
      <c r="D8" s="67">
        <f>IFERROR(WEEKDAY(D6,2), 0)</f>
        <v>5</v>
      </c>
      <c r="E8" s="67">
        <f t="shared" ref="E8:AG8" si="2">IFERROR(WEEKDAY(E6,2), 0)</f>
        <v>6</v>
      </c>
      <c r="F8" s="67">
        <f t="shared" si="2"/>
        <v>7</v>
      </c>
      <c r="G8" s="67">
        <f t="shared" si="2"/>
        <v>1</v>
      </c>
      <c r="H8" s="67">
        <f t="shared" si="2"/>
        <v>2</v>
      </c>
      <c r="I8" s="67">
        <f t="shared" si="2"/>
        <v>3</v>
      </c>
      <c r="J8" s="67">
        <f t="shared" si="2"/>
        <v>4</v>
      </c>
      <c r="K8" s="67">
        <f t="shared" si="2"/>
        <v>5</v>
      </c>
      <c r="L8" s="67">
        <f t="shared" si="2"/>
        <v>6</v>
      </c>
      <c r="M8" s="67">
        <f t="shared" si="2"/>
        <v>7</v>
      </c>
      <c r="N8" s="67">
        <f t="shared" si="2"/>
        <v>1</v>
      </c>
      <c r="O8" s="67">
        <f t="shared" si="2"/>
        <v>2</v>
      </c>
      <c r="P8" s="67">
        <f t="shared" si="2"/>
        <v>3</v>
      </c>
      <c r="Q8" s="67">
        <f t="shared" si="2"/>
        <v>4</v>
      </c>
      <c r="R8" s="67">
        <f t="shared" si="2"/>
        <v>5</v>
      </c>
      <c r="S8" s="67">
        <f t="shared" si="2"/>
        <v>6</v>
      </c>
      <c r="T8" s="67">
        <f t="shared" si="2"/>
        <v>7</v>
      </c>
      <c r="U8" s="67">
        <f t="shared" si="2"/>
        <v>1</v>
      </c>
      <c r="V8" s="67">
        <f t="shared" si="2"/>
        <v>2</v>
      </c>
      <c r="W8" s="67">
        <f t="shared" si="2"/>
        <v>3</v>
      </c>
      <c r="X8" s="67">
        <f t="shared" si="2"/>
        <v>4</v>
      </c>
      <c r="Y8" s="67">
        <f t="shared" si="2"/>
        <v>5</v>
      </c>
      <c r="Z8" s="67">
        <f t="shared" si="2"/>
        <v>6</v>
      </c>
      <c r="AA8" s="67">
        <f t="shared" si="2"/>
        <v>7</v>
      </c>
      <c r="AB8" s="67">
        <f t="shared" si="2"/>
        <v>1</v>
      </c>
      <c r="AC8" s="67">
        <f t="shared" si="2"/>
        <v>2</v>
      </c>
      <c r="AD8" s="67">
        <f t="shared" si="2"/>
        <v>3</v>
      </c>
      <c r="AE8" s="67">
        <f t="shared" si="2"/>
        <v>4</v>
      </c>
      <c r="AF8" s="67">
        <f t="shared" si="2"/>
        <v>0</v>
      </c>
      <c r="AG8" s="71">
        <f t="shared" si="2"/>
        <v>0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 t="s">
        <v>103</v>
      </c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45323</v>
      </c>
      <c r="D78" s="160">
        <f t="shared" ref="D78:AG78" si="9">D7</f>
        <v>45324</v>
      </c>
      <c r="E78" s="160">
        <f t="shared" si="9"/>
        <v>45325</v>
      </c>
      <c r="F78" s="160">
        <f t="shared" si="9"/>
        <v>45326</v>
      </c>
      <c r="G78" s="160">
        <f t="shared" si="9"/>
        <v>45327</v>
      </c>
      <c r="H78" s="160">
        <f t="shared" si="9"/>
        <v>45328</v>
      </c>
      <c r="I78" s="160">
        <f t="shared" si="9"/>
        <v>45329</v>
      </c>
      <c r="J78" s="160">
        <f t="shared" si="9"/>
        <v>45330</v>
      </c>
      <c r="K78" s="160">
        <f t="shared" si="9"/>
        <v>45331</v>
      </c>
      <c r="L78" s="160">
        <f t="shared" si="9"/>
        <v>45332</v>
      </c>
      <c r="M78" s="160">
        <f t="shared" si="9"/>
        <v>45333</v>
      </c>
      <c r="N78" s="160">
        <f t="shared" si="9"/>
        <v>45334</v>
      </c>
      <c r="O78" s="160">
        <f t="shared" si="9"/>
        <v>45335</v>
      </c>
      <c r="P78" s="160">
        <f t="shared" si="9"/>
        <v>45336</v>
      </c>
      <c r="Q78" s="160">
        <f t="shared" si="9"/>
        <v>45337</v>
      </c>
      <c r="R78" s="160">
        <f t="shared" si="9"/>
        <v>45338</v>
      </c>
      <c r="S78" s="160">
        <f t="shared" si="9"/>
        <v>45339</v>
      </c>
      <c r="T78" s="160">
        <f t="shared" si="9"/>
        <v>45340</v>
      </c>
      <c r="U78" s="160">
        <f t="shared" si="9"/>
        <v>45341</v>
      </c>
      <c r="V78" s="160">
        <f t="shared" si="9"/>
        <v>45342</v>
      </c>
      <c r="W78" s="160">
        <f t="shared" si="9"/>
        <v>45343</v>
      </c>
      <c r="X78" s="160">
        <f t="shared" si="9"/>
        <v>45344</v>
      </c>
      <c r="Y78" s="160">
        <f t="shared" si="9"/>
        <v>45345</v>
      </c>
      <c r="Z78" s="160">
        <f t="shared" si="9"/>
        <v>45346</v>
      </c>
      <c r="AA78" s="160">
        <f t="shared" si="9"/>
        <v>45347</v>
      </c>
      <c r="AB78" s="160">
        <f t="shared" si="9"/>
        <v>45348</v>
      </c>
      <c r="AC78" s="160">
        <f t="shared" si="9"/>
        <v>45349</v>
      </c>
      <c r="AD78" s="160">
        <f t="shared" si="9"/>
        <v>45350</v>
      </c>
      <c r="AE78" s="160">
        <f t="shared" si="9"/>
        <v>45351</v>
      </c>
      <c r="AF78" s="160" t="str">
        <f t="shared" si="9"/>
        <v/>
      </c>
      <c r="AG78" s="160" t="str">
        <f t="shared" si="9"/>
        <v/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2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/lS9ddGvHQdVz75LomzTQUxPayDcBPF3aUvQP30UR99BE2bwm0AxfAhyu6LehfdW8F+jGLLb/VYRFlOWM/iFfA==" saltValue="vRQoHeuF43VpuGm4qQqeOA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637" priority="30" stopIfTrue="1" operator="greaterThan">
      <formula>0</formula>
    </cfRule>
    <cfRule type="cellIs" dxfId="636" priority="42" stopIfTrue="1" operator="equal">
      <formula>0</formula>
    </cfRule>
  </conditionalFormatting>
  <conditionalFormatting sqref="C6:AG9">
    <cfRule type="expression" dxfId="635" priority="40">
      <formula>C$9="FT"</formula>
    </cfRule>
    <cfRule type="expression" dxfId="634" priority="41">
      <formula>C$8&gt;5</formula>
    </cfRule>
  </conditionalFormatting>
  <conditionalFormatting sqref="B50">
    <cfRule type="expression" dxfId="633" priority="38">
      <formula>B$50="WS"</formula>
    </cfRule>
    <cfRule type="expression" dxfId="632" priority="39">
      <formula>B$50="SZ"</formula>
    </cfRule>
  </conditionalFormatting>
  <conditionalFormatting sqref="C10:AG49">
    <cfRule type="expression" dxfId="631" priority="1" stopIfTrue="1">
      <formula>C10="FS"</formula>
    </cfRule>
    <cfRule type="expression" dxfId="630" priority="2">
      <formula>C10="K"</formula>
    </cfRule>
    <cfRule type="expression" dxfId="629" priority="3" stopIfTrue="1">
      <formula>C10="U"</formula>
    </cfRule>
    <cfRule type="expression" dxfId="628" priority="18">
      <formula>OR(C10="PT", C10="PN")</formula>
    </cfRule>
    <cfRule type="expression" dxfId="627" priority="19">
      <formula>C10="KT"</formula>
    </cfRule>
    <cfRule type="expression" dxfId="626" priority="20">
      <formula>OR(C10="KT", C10="T1", C10="HT", C10="T")</formula>
    </cfRule>
    <cfRule type="expression" dxfId="625" priority="32">
      <formula>C10="KN"</formula>
    </cfRule>
    <cfRule type="expression" dxfId="624" priority="33">
      <formula>OR(C10="KN", C10="N1", C10="HN", C10="N")</formula>
    </cfRule>
    <cfRule type="expression" dxfId="623" priority="34">
      <formula>C$9="FT"</formula>
    </cfRule>
    <cfRule type="expression" dxfId="622" priority="35">
      <formula>C$8&gt;5</formula>
    </cfRule>
    <cfRule type="expression" dxfId="621" priority="36">
      <formula>C10="S"</formula>
    </cfRule>
    <cfRule type="expression" dxfId="620" priority="37">
      <formula>C10="F"</formula>
    </cfRule>
  </conditionalFormatting>
  <conditionalFormatting sqref="C50:AG50">
    <cfRule type="expression" dxfId="619" priority="31" stopIfTrue="1">
      <formula>C$50="S"</formula>
    </cfRule>
  </conditionalFormatting>
  <conditionalFormatting sqref="AI10:AI49">
    <cfRule type="cellIs" dxfId="618" priority="28" stopIfTrue="1" operator="equal">
      <formula>0</formula>
    </cfRule>
    <cfRule type="cellIs" dxfId="617" priority="29" operator="greaterThan">
      <formula>0</formula>
    </cfRule>
  </conditionalFormatting>
  <conditionalFormatting sqref="AM10:AM49">
    <cfRule type="cellIs" dxfId="616" priority="26" stopIfTrue="1" operator="equal">
      <formula>0</formula>
    </cfRule>
    <cfRule type="cellIs" dxfId="615" priority="27" operator="greaterThan">
      <formula>0</formula>
    </cfRule>
  </conditionalFormatting>
  <conditionalFormatting sqref="AH10:AH49">
    <cfRule type="cellIs" dxfId="614" priority="25" operator="equal">
      <formula>0</formula>
    </cfRule>
  </conditionalFormatting>
  <conditionalFormatting sqref="AJ10:AK49">
    <cfRule type="cellIs" dxfId="613" priority="24" operator="equal">
      <formula>0</formula>
    </cfRule>
  </conditionalFormatting>
  <conditionalFormatting sqref="AL10:AL49">
    <cfRule type="cellIs" dxfId="612" priority="23" operator="equal">
      <formula>0</formula>
    </cfRule>
  </conditionalFormatting>
  <conditionalFormatting sqref="AN10:AP49">
    <cfRule type="cellIs" dxfId="611" priority="21" operator="equal">
      <formula>0</formula>
    </cfRule>
    <cfRule type="cellIs" dxfId="610" priority="22" stopIfTrue="1" operator="greaterThan">
      <formula>0</formula>
    </cfRule>
  </conditionalFormatting>
  <conditionalFormatting sqref="C84:AG84">
    <cfRule type="expression" dxfId="609" priority="9" stopIfTrue="1">
      <formula>IF($B$84="",1,0)</formula>
    </cfRule>
    <cfRule type="expression" dxfId="608" priority="43" stopIfTrue="1">
      <formula>IF(C$84&lt;&gt;$C$104,1,0)</formula>
    </cfRule>
    <cfRule type="expression" dxfId="607" priority="44" stopIfTrue="1">
      <formula>IF(C$84=$C$104,1,0)</formula>
    </cfRule>
  </conditionalFormatting>
  <conditionalFormatting sqref="C85:AG85">
    <cfRule type="expression" dxfId="606" priority="10" stopIfTrue="1">
      <formula>IF($B$85="",1,0)</formula>
    </cfRule>
    <cfRule type="expression" dxfId="605" priority="45">
      <formula>IF(C$85=$C$105,1,0)</formula>
    </cfRule>
    <cfRule type="expression" dxfId="604" priority="46">
      <formula>IF(C$85&lt;&gt;$C$105,1,0)</formula>
    </cfRule>
  </conditionalFormatting>
  <conditionalFormatting sqref="C86:AG86">
    <cfRule type="expression" dxfId="603" priority="11" stopIfTrue="1">
      <formula>IF($B$86="",1,0)</formula>
    </cfRule>
    <cfRule type="expression" dxfId="602" priority="47" stopIfTrue="1">
      <formula>IF(C$86&lt;&gt;$C$106,1,0)</formula>
    </cfRule>
    <cfRule type="expression" dxfId="601" priority="48" stopIfTrue="1">
      <formula>IF(C$86=$C$106,1,0)</formula>
    </cfRule>
  </conditionalFormatting>
  <conditionalFormatting sqref="C79:AG79">
    <cfRule type="expression" dxfId="600" priority="4">
      <formula>IF($B$79="",1,0)</formula>
    </cfRule>
    <cfRule type="expression" dxfId="599" priority="49">
      <formula>IF(C$79=$C$99,1,0)</formula>
    </cfRule>
    <cfRule type="expression" dxfId="598" priority="50">
      <formula>IF(C$79&lt;&gt;$C$99,1,0)</formula>
    </cfRule>
  </conditionalFormatting>
  <conditionalFormatting sqref="C81:AG81">
    <cfRule type="expression" dxfId="597" priority="6">
      <formula>IF($B$81="",1,0)</formula>
    </cfRule>
    <cfRule type="expression" dxfId="596" priority="51">
      <formula>IF(C$81=$C$101,1,0)</formula>
    </cfRule>
    <cfRule type="expression" dxfId="595" priority="52">
      <formula>IF(C$81&lt;&gt;$C$101,1,0)</formula>
    </cfRule>
  </conditionalFormatting>
  <conditionalFormatting sqref="C80:AG80">
    <cfRule type="expression" dxfId="594" priority="5">
      <formula>IF($B$80="",1,0)</formula>
    </cfRule>
    <cfRule type="expression" dxfId="593" priority="53">
      <formula>IF(C$80&lt;&gt;$C$100,1,0)</formula>
    </cfRule>
    <cfRule type="expression" dxfId="592" priority="54">
      <formula>IF(C$80=$C$100,1,0)</formula>
    </cfRule>
  </conditionalFormatting>
  <conditionalFormatting sqref="C82:AG82">
    <cfRule type="expression" dxfId="591" priority="7">
      <formula>IF($B$82="",1,0)</formula>
    </cfRule>
    <cfRule type="expression" dxfId="590" priority="55">
      <formula>IF(C$82&lt;&gt;$C$102,1,0)</formula>
    </cfRule>
    <cfRule type="expression" dxfId="589" priority="56">
      <formula>IF(C$82=$C$102,1,0)</formula>
    </cfRule>
  </conditionalFormatting>
  <conditionalFormatting sqref="C83:AG83">
    <cfRule type="expression" dxfId="588" priority="8" stopIfTrue="1">
      <formula>IF($B$83="",1,0)</formula>
    </cfRule>
    <cfRule type="expression" dxfId="587" priority="57" stopIfTrue="1">
      <formula>IF(C$83=$C$103,1,0)</formula>
    </cfRule>
    <cfRule type="expression" dxfId="586" priority="58" stopIfTrue="1">
      <formula>IF(C$83&lt;&gt;$C$103,1,0)</formula>
    </cfRule>
  </conditionalFormatting>
  <conditionalFormatting sqref="C88:AG88">
    <cfRule type="expression" dxfId="585" priority="13" stopIfTrue="1">
      <formula>IF($B$88="",1,0)</formula>
    </cfRule>
    <cfRule type="expression" dxfId="584" priority="16" stopIfTrue="1">
      <formula>IF(C$88&lt;&gt;$C$108,1,0)</formula>
    </cfRule>
    <cfRule type="expression" dxfId="583" priority="17" stopIfTrue="1">
      <formula>IF(C$88=$C$108,1,0)</formula>
    </cfRule>
  </conditionalFormatting>
  <conditionalFormatting sqref="C87:AG87">
    <cfRule type="expression" dxfId="582" priority="12" stopIfTrue="1">
      <formula>IF($B$87="",1,0)</formula>
    </cfRule>
    <cfRule type="expression" dxfId="581" priority="14" stopIfTrue="1">
      <formula>IF(C$87&lt;&gt;$C$107,1,0)</formula>
    </cfRule>
    <cfRule type="expression" dxfId="580" priority="15" stopIfTrue="1">
      <formula>IF(C$87=$C$107,1,0)</formula>
    </cfRule>
  </conditionalFormatting>
  <dataValidations count="1">
    <dataValidation type="list" allowBlank="1" showInputMessage="1" showErrorMessage="1" sqref="B10:B49" xr:uid="{960C0B9D-2899-4E58-A96C-131BDB6353FA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7F419-1EF9-462C-BAE5-A950F07DF35C}">
  <sheetPr codeName="Dienstplan21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März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1.3.2024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45352</v>
      </c>
      <c r="D6" s="100">
        <f t="shared" ref="D6:AG6" si="0">IF(MONTH(DATE(YEAR($L$3),MONTH($L$3),COLUMN()-COLUMN($B6)))&gt;MONTH($L$3),"",DATE(YEAR($L$3),MONTH($L$3),COLUMN()-COLUMN($B6)))</f>
        <v>45353</v>
      </c>
      <c r="E6" s="100">
        <f t="shared" si="0"/>
        <v>45354</v>
      </c>
      <c r="F6" s="100">
        <f t="shared" si="0"/>
        <v>45355</v>
      </c>
      <c r="G6" s="100">
        <f t="shared" si="0"/>
        <v>45356</v>
      </c>
      <c r="H6" s="100">
        <f t="shared" si="0"/>
        <v>45357</v>
      </c>
      <c r="I6" s="100">
        <f t="shared" si="0"/>
        <v>45358</v>
      </c>
      <c r="J6" s="100">
        <f t="shared" si="0"/>
        <v>45359</v>
      </c>
      <c r="K6" s="100">
        <f t="shared" si="0"/>
        <v>45360</v>
      </c>
      <c r="L6" s="100">
        <f t="shared" si="0"/>
        <v>45361</v>
      </c>
      <c r="M6" s="100">
        <f t="shared" si="0"/>
        <v>45362</v>
      </c>
      <c r="N6" s="100">
        <f t="shared" si="0"/>
        <v>45363</v>
      </c>
      <c r="O6" s="100">
        <f t="shared" si="0"/>
        <v>45364</v>
      </c>
      <c r="P6" s="100">
        <f t="shared" si="0"/>
        <v>45365</v>
      </c>
      <c r="Q6" s="100">
        <f t="shared" si="0"/>
        <v>45366</v>
      </c>
      <c r="R6" s="100">
        <f t="shared" si="0"/>
        <v>45367</v>
      </c>
      <c r="S6" s="100">
        <f t="shared" si="0"/>
        <v>45368</v>
      </c>
      <c r="T6" s="100">
        <f t="shared" si="0"/>
        <v>45369</v>
      </c>
      <c r="U6" s="100">
        <f t="shared" si="0"/>
        <v>45370</v>
      </c>
      <c r="V6" s="100">
        <f t="shared" si="0"/>
        <v>45371</v>
      </c>
      <c r="W6" s="100">
        <f t="shared" si="0"/>
        <v>45372</v>
      </c>
      <c r="X6" s="100">
        <f t="shared" si="0"/>
        <v>45373</v>
      </c>
      <c r="Y6" s="100">
        <f t="shared" si="0"/>
        <v>45374</v>
      </c>
      <c r="Z6" s="100">
        <f t="shared" si="0"/>
        <v>45375</v>
      </c>
      <c r="AA6" s="100">
        <f t="shared" si="0"/>
        <v>45376</v>
      </c>
      <c r="AB6" s="100">
        <f t="shared" si="0"/>
        <v>45377</v>
      </c>
      <c r="AC6" s="100">
        <f t="shared" si="0"/>
        <v>45378</v>
      </c>
      <c r="AD6" s="100">
        <f t="shared" si="0"/>
        <v>45379</v>
      </c>
      <c r="AE6" s="100">
        <f t="shared" si="0"/>
        <v>45380</v>
      </c>
      <c r="AF6" s="100">
        <f t="shared" si="0"/>
        <v>45381</v>
      </c>
      <c r="AG6" s="101">
        <f t="shared" si="0"/>
        <v>45382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45352</v>
      </c>
      <c r="D7" s="103">
        <f t="shared" ref="D7:AG7" si="1">IF(MONTH(DATE(YEAR($L$3),MONTH($L$3),COLUMN()-COLUMN($B6)))&gt;MONTH($L$3),"",DATE(YEAR($L$3),MONTH($L$3),COLUMN()-COLUMN($B6)))</f>
        <v>45353</v>
      </c>
      <c r="E7" s="103">
        <f t="shared" si="1"/>
        <v>45354</v>
      </c>
      <c r="F7" s="103">
        <f t="shared" si="1"/>
        <v>45355</v>
      </c>
      <c r="G7" s="103">
        <f t="shared" si="1"/>
        <v>45356</v>
      </c>
      <c r="H7" s="103">
        <f t="shared" si="1"/>
        <v>45357</v>
      </c>
      <c r="I7" s="103">
        <f t="shared" si="1"/>
        <v>45358</v>
      </c>
      <c r="J7" s="103">
        <f t="shared" si="1"/>
        <v>45359</v>
      </c>
      <c r="K7" s="103">
        <f t="shared" si="1"/>
        <v>45360</v>
      </c>
      <c r="L7" s="103">
        <f t="shared" si="1"/>
        <v>45361</v>
      </c>
      <c r="M7" s="103">
        <f t="shared" si="1"/>
        <v>45362</v>
      </c>
      <c r="N7" s="103">
        <f t="shared" si="1"/>
        <v>45363</v>
      </c>
      <c r="O7" s="103">
        <f t="shared" si="1"/>
        <v>45364</v>
      </c>
      <c r="P7" s="103">
        <f t="shared" si="1"/>
        <v>45365</v>
      </c>
      <c r="Q7" s="103">
        <f t="shared" si="1"/>
        <v>45366</v>
      </c>
      <c r="R7" s="103">
        <f t="shared" si="1"/>
        <v>45367</v>
      </c>
      <c r="S7" s="103">
        <f t="shared" si="1"/>
        <v>45368</v>
      </c>
      <c r="T7" s="103">
        <f t="shared" si="1"/>
        <v>45369</v>
      </c>
      <c r="U7" s="103">
        <f t="shared" si="1"/>
        <v>45370</v>
      </c>
      <c r="V7" s="103">
        <f t="shared" si="1"/>
        <v>45371</v>
      </c>
      <c r="W7" s="103">
        <f t="shared" si="1"/>
        <v>45372</v>
      </c>
      <c r="X7" s="103">
        <f t="shared" si="1"/>
        <v>45373</v>
      </c>
      <c r="Y7" s="103">
        <f t="shared" si="1"/>
        <v>45374</v>
      </c>
      <c r="Z7" s="103">
        <f t="shared" si="1"/>
        <v>45375</v>
      </c>
      <c r="AA7" s="103">
        <f t="shared" si="1"/>
        <v>45376</v>
      </c>
      <c r="AB7" s="103">
        <f t="shared" si="1"/>
        <v>45377</v>
      </c>
      <c r="AC7" s="103">
        <f t="shared" si="1"/>
        <v>45378</v>
      </c>
      <c r="AD7" s="103">
        <f t="shared" si="1"/>
        <v>45379</v>
      </c>
      <c r="AE7" s="103">
        <f t="shared" si="1"/>
        <v>45380</v>
      </c>
      <c r="AF7" s="103">
        <f t="shared" si="1"/>
        <v>45381</v>
      </c>
      <c r="AG7" s="104">
        <f t="shared" si="1"/>
        <v>45382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5</v>
      </c>
      <c r="D8" s="67">
        <f>IFERROR(WEEKDAY(D6,2), 0)</f>
        <v>6</v>
      </c>
      <c r="E8" s="67">
        <f t="shared" ref="E8:AG8" si="2">IFERROR(WEEKDAY(E6,2), 0)</f>
        <v>7</v>
      </c>
      <c r="F8" s="67">
        <f t="shared" si="2"/>
        <v>1</v>
      </c>
      <c r="G8" s="67">
        <f t="shared" si="2"/>
        <v>2</v>
      </c>
      <c r="H8" s="67">
        <f t="shared" si="2"/>
        <v>3</v>
      </c>
      <c r="I8" s="67">
        <f t="shared" si="2"/>
        <v>4</v>
      </c>
      <c r="J8" s="67">
        <f t="shared" si="2"/>
        <v>5</v>
      </c>
      <c r="K8" s="67">
        <f t="shared" si="2"/>
        <v>6</v>
      </c>
      <c r="L8" s="67">
        <f t="shared" si="2"/>
        <v>7</v>
      </c>
      <c r="M8" s="67">
        <f t="shared" si="2"/>
        <v>1</v>
      </c>
      <c r="N8" s="67">
        <f t="shared" si="2"/>
        <v>2</v>
      </c>
      <c r="O8" s="67">
        <f t="shared" si="2"/>
        <v>3</v>
      </c>
      <c r="P8" s="67">
        <f t="shared" si="2"/>
        <v>4</v>
      </c>
      <c r="Q8" s="67">
        <f t="shared" si="2"/>
        <v>5</v>
      </c>
      <c r="R8" s="67">
        <f t="shared" si="2"/>
        <v>6</v>
      </c>
      <c r="S8" s="67">
        <f t="shared" si="2"/>
        <v>7</v>
      </c>
      <c r="T8" s="67">
        <f t="shared" si="2"/>
        <v>1</v>
      </c>
      <c r="U8" s="67">
        <f t="shared" si="2"/>
        <v>2</v>
      </c>
      <c r="V8" s="67">
        <f t="shared" si="2"/>
        <v>3</v>
      </c>
      <c r="W8" s="67">
        <f t="shared" si="2"/>
        <v>4</v>
      </c>
      <c r="X8" s="67">
        <f t="shared" si="2"/>
        <v>5</v>
      </c>
      <c r="Y8" s="67">
        <f t="shared" si="2"/>
        <v>6</v>
      </c>
      <c r="Z8" s="67">
        <f t="shared" si="2"/>
        <v>7</v>
      </c>
      <c r="AA8" s="67">
        <f t="shared" si="2"/>
        <v>1</v>
      </c>
      <c r="AB8" s="67">
        <f t="shared" si="2"/>
        <v>2</v>
      </c>
      <c r="AC8" s="67">
        <f t="shared" si="2"/>
        <v>3</v>
      </c>
      <c r="AD8" s="67">
        <f t="shared" si="2"/>
        <v>4</v>
      </c>
      <c r="AE8" s="67">
        <f t="shared" si="2"/>
        <v>5</v>
      </c>
      <c r="AF8" s="67">
        <f t="shared" si="2"/>
        <v>6</v>
      </c>
      <c r="AG8" s="71">
        <f t="shared" si="2"/>
        <v>7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>FT</v>
      </c>
      <c r="AF9" s="13" t="str">
        <f>IF(ISNA(VLOOKUP(AF$6,Einstellungen!$B$8:$B$22,1,0)),"","FT")</f>
        <v/>
      </c>
      <c r="AG9" s="51" t="str">
        <f>IF(ISNA(VLOOKUP(AG$6,Einstellungen!$B$8:$B$22,1,0)),"","FT")</f>
        <v>FT</v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45352</v>
      </c>
      <c r="D78" s="160">
        <f t="shared" ref="D78:AG78" si="9">D7</f>
        <v>45353</v>
      </c>
      <c r="E78" s="160">
        <f t="shared" si="9"/>
        <v>45354</v>
      </c>
      <c r="F78" s="160">
        <f t="shared" si="9"/>
        <v>45355</v>
      </c>
      <c r="G78" s="160">
        <f t="shared" si="9"/>
        <v>45356</v>
      </c>
      <c r="H78" s="160">
        <f t="shared" si="9"/>
        <v>45357</v>
      </c>
      <c r="I78" s="160">
        <f t="shared" si="9"/>
        <v>45358</v>
      </c>
      <c r="J78" s="160">
        <f t="shared" si="9"/>
        <v>45359</v>
      </c>
      <c r="K78" s="160">
        <f t="shared" si="9"/>
        <v>45360</v>
      </c>
      <c r="L78" s="160">
        <f t="shared" si="9"/>
        <v>45361</v>
      </c>
      <c r="M78" s="160">
        <f t="shared" si="9"/>
        <v>45362</v>
      </c>
      <c r="N78" s="160">
        <f t="shared" si="9"/>
        <v>45363</v>
      </c>
      <c r="O78" s="160">
        <f t="shared" si="9"/>
        <v>45364</v>
      </c>
      <c r="P78" s="160">
        <f t="shared" si="9"/>
        <v>45365</v>
      </c>
      <c r="Q78" s="160">
        <f t="shared" si="9"/>
        <v>45366</v>
      </c>
      <c r="R78" s="160">
        <f t="shared" si="9"/>
        <v>45367</v>
      </c>
      <c r="S78" s="160">
        <f t="shared" si="9"/>
        <v>45368</v>
      </c>
      <c r="T78" s="160">
        <f t="shared" si="9"/>
        <v>45369</v>
      </c>
      <c r="U78" s="160">
        <f t="shared" si="9"/>
        <v>45370</v>
      </c>
      <c r="V78" s="160">
        <f t="shared" si="9"/>
        <v>45371</v>
      </c>
      <c r="W78" s="160">
        <f t="shared" si="9"/>
        <v>45372</v>
      </c>
      <c r="X78" s="160">
        <f t="shared" si="9"/>
        <v>45373</v>
      </c>
      <c r="Y78" s="160">
        <f t="shared" si="9"/>
        <v>45374</v>
      </c>
      <c r="Z78" s="160">
        <f t="shared" si="9"/>
        <v>45375</v>
      </c>
      <c r="AA78" s="160">
        <f t="shared" si="9"/>
        <v>45376</v>
      </c>
      <c r="AB78" s="160">
        <f t="shared" si="9"/>
        <v>45377</v>
      </c>
      <c r="AC78" s="160">
        <f t="shared" si="9"/>
        <v>45378</v>
      </c>
      <c r="AD78" s="160">
        <f t="shared" si="9"/>
        <v>45379</v>
      </c>
      <c r="AE78" s="160">
        <f t="shared" si="9"/>
        <v>45380</v>
      </c>
      <c r="AF78" s="160">
        <f t="shared" si="9"/>
        <v>45381</v>
      </c>
      <c r="AG78" s="160">
        <f t="shared" si="9"/>
        <v>45382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3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2SGdm3i3wXGaA1igUbY4gzxGfBZdnV2hS3e8TAr3iRKrDoHCLgWI75OXk6LOu7TeGCEQJ0PCAkaKvDaJNUVK1g==" saltValue="1+dxGFxnAOTdwDJd+/vuLg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579" priority="30" stopIfTrue="1" operator="greaterThan">
      <formula>0</formula>
    </cfRule>
    <cfRule type="cellIs" dxfId="578" priority="42" stopIfTrue="1" operator="equal">
      <formula>0</formula>
    </cfRule>
  </conditionalFormatting>
  <conditionalFormatting sqref="C6:AG9">
    <cfRule type="expression" dxfId="577" priority="40">
      <formula>C$9="FT"</formula>
    </cfRule>
    <cfRule type="expression" dxfId="576" priority="41">
      <formula>C$8&gt;5</formula>
    </cfRule>
  </conditionalFormatting>
  <conditionalFormatting sqref="B50">
    <cfRule type="expression" dxfId="575" priority="38">
      <formula>B$50="WS"</formula>
    </cfRule>
    <cfRule type="expression" dxfId="574" priority="39">
      <formula>B$50="SZ"</formula>
    </cfRule>
  </conditionalFormatting>
  <conditionalFormatting sqref="C10:AG49">
    <cfRule type="expression" dxfId="573" priority="1" stopIfTrue="1">
      <formula>C10="FS"</formula>
    </cfRule>
    <cfRule type="expression" dxfId="572" priority="2">
      <formula>C10="K"</formula>
    </cfRule>
    <cfRule type="expression" dxfId="571" priority="3" stopIfTrue="1">
      <formula>C10="U"</formula>
    </cfRule>
    <cfRule type="expression" dxfId="570" priority="18">
      <formula>OR(C10="PT", C10="PN")</formula>
    </cfRule>
    <cfRule type="expression" dxfId="569" priority="19">
      <formula>C10="KT"</formula>
    </cfRule>
    <cfRule type="expression" dxfId="568" priority="20">
      <formula>OR(C10="KT", C10="T1", C10="HT", C10="T")</formula>
    </cfRule>
    <cfRule type="expression" dxfId="567" priority="32">
      <formula>C10="KN"</formula>
    </cfRule>
    <cfRule type="expression" dxfId="566" priority="33">
      <formula>OR(C10="KN", C10="N1", C10="HN", C10="N")</formula>
    </cfRule>
    <cfRule type="expression" dxfId="565" priority="34">
      <formula>C$9="FT"</formula>
    </cfRule>
    <cfRule type="expression" dxfId="564" priority="35">
      <formula>C$8&gt;5</formula>
    </cfRule>
    <cfRule type="expression" dxfId="563" priority="36">
      <formula>C10="S"</formula>
    </cfRule>
    <cfRule type="expression" dxfId="562" priority="37">
      <formula>C10="F"</formula>
    </cfRule>
  </conditionalFormatting>
  <conditionalFormatting sqref="C50:AG50">
    <cfRule type="expression" dxfId="561" priority="31" stopIfTrue="1">
      <formula>C$50="S"</formula>
    </cfRule>
  </conditionalFormatting>
  <conditionalFormatting sqref="AI10:AI49">
    <cfRule type="cellIs" dxfId="560" priority="28" stopIfTrue="1" operator="equal">
      <formula>0</formula>
    </cfRule>
    <cfRule type="cellIs" dxfId="559" priority="29" operator="greaterThan">
      <formula>0</formula>
    </cfRule>
  </conditionalFormatting>
  <conditionalFormatting sqref="AM10:AM49">
    <cfRule type="cellIs" dxfId="558" priority="26" stopIfTrue="1" operator="equal">
      <formula>0</formula>
    </cfRule>
    <cfRule type="cellIs" dxfId="557" priority="27" operator="greaterThan">
      <formula>0</formula>
    </cfRule>
  </conditionalFormatting>
  <conditionalFormatting sqref="AH10:AH49">
    <cfRule type="cellIs" dxfId="556" priority="25" operator="equal">
      <formula>0</formula>
    </cfRule>
  </conditionalFormatting>
  <conditionalFormatting sqref="AJ10:AK49">
    <cfRule type="cellIs" dxfId="555" priority="24" operator="equal">
      <formula>0</formula>
    </cfRule>
  </conditionalFormatting>
  <conditionalFormatting sqref="AL10:AL49">
    <cfRule type="cellIs" dxfId="554" priority="23" operator="equal">
      <formula>0</formula>
    </cfRule>
  </conditionalFormatting>
  <conditionalFormatting sqref="AN10:AP49">
    <cfRule type="cellIs" dxfId="553" priority="21" operator="equal">
      <formula>0</formula>
    </cfRule>
    <cfRule type="cellIs" dxfId="552" priority="22" stopIfTrue="1" operator="greaterThan">
      <formula>0</formula>
    </cfRule>
  </conditionalFormatting>
  <conditionalFormatting sqref="C84:AG84">
    <cfRule type="expression" dxfId="551" priority="9" stopIfTrue="1">
      <formula>IF($B$84="",1,0)</formula>
    </cfRule>
    <cfRule type="expression" dxfId="550" priority="43" stopIfTrue="1">
      <formula>IF(C$84&lt;&gt;$C$104,1,0)</formula>
    </cfRule>
    <cfRule type="expression" dxfId="549" priority="44" stopIfTrue="1">
      <formula>IF(C$84=$C$104,1,0)</formula>
    </cfRule>
  </conditionalFormatting>
  <conditionalFormatting sqref="C85:AG85">
    <cfRule type="expression" dxfId="548" priority="10" stopIfTrue="1">
      <formula>IF($B$85="",1,0)</formula>
    </cfRule>
    <cfRule type="expression" dxfId="547" priority="45">
      <formula>IF(C$85=$C$105,1,0)</formula>
    </cfRule>
    <cfRule type="expression" dxfId="546" priority="46">
      <formula>IF(C$85&lt;&gt;$C$105,1,0)</formula>
    </cfRule>
  </conditionalFormatting>
  <conditionalFormatting sqref="C86:AG86">
    <cfRule type="expression" dxfId="545" priority="11" stopIfTrue="1">
      <formula>IF($B$86="",1,0)</formula>
    </cfRule>
    <cfRule type="expression" dxfId="544" priority="47" stopIfTrue="1">
      <formula>IF(C$86&lt;&gt;$C$106,1,0)</formula>
    </cfRule>
    <cfRule type="expression" dxfId="543" priority="48" stopIfTrue="1">
      <formula>IF(C$86=$C$106,1,0)</formula>
    </cfRule>
  </conditionalFormatting>
  <conditionalFormatting sqref="C79:AG79">
    <cfRule type="expression" dxfId="542" priority="4">
      <formula>IF($B$79="",1,0)</formula>
    </cfRule>
    <cfRule type="expression" dxfId="541" priority="49">
      <formula>IF(C$79=$C$99,1,0)</formula>
    </cfRule>
    <cfRule type="expression" dxfId="540" priority="50">
      <formula>IF(C$79&lt;&gt;$C$99,1,0)</formula>
    </cfRule>
  </conditionalFormatting>
  <conditionalFormatting sqref="C81:AG81">
    <cfRule type="expression" dxfId="539" priority="6">
      <formula>IF($B$81="",1,0)</formula>
    </cfRule>
    <cfRule type="expression" dxfId="538" priority="51">
      <formula>IF(C$81=$C$101,1,0)</formula>
    </cfRule>
    <cfRule type="expression" dxfId="537" priority="52">
      <formula>IF(C$81&lt;&gt;$C$101,1,0)</formula>
    </cfRule>
  </conditionalFormatting>
  <conditionalFormatting sqref="C80:AG80">
    <cfRule type="expression" dxfId="536" priority="5">
      <formula>IF($B$80="",1,0)</formula>
    </cfRule>
    <cfRule type="expression" dxfId="535" priority="53">
      <formula>IF(C$80&lt;&gt;$C$100,1,0)</formula>
    </cfRule>
    <cfRule type="expression" dxfId="534" priority="54">
      <formula>IF(C$80=$C$100,1,0)</formula>
    </cfRule>
  </conditionalFormatting>
  <conditionalFormatting sqref="C82:AG82">
    <cfRule type="expression" dxfId="533" priority="7">
      <formula>IF($B$82="",1,0)</formula>
    </cfRule>
    <cfRule type="expression" dxfId="532" priority="55">
      <formula>IF(C$82&lt;&gt;$C$102,1,0)</formula>
    </cfRule>
    <cfRule type="expression" dxfId="531" priority="56">
      <formula>IF(C$82=$C$102,1,0)</formula>
    </cfRule>
  </conditionalFormatting>
  <conditionalFormatting sqref="C83:AG83">
    <cfRule type="expression" dxfId="530" priority="8" stopIfTrue="1">
      <formula>IF($B$83="",1,0)</formula>
    </cfRule>
    <cfRule type="expression" dxfId="529" priority="57" stopIfTrue="1">
      <formula>IF(C$83=$C$103,1,0)</formula>
    </cfRule>
    <cfRule type="expression" dxfId="528" priority="58" stopIfTrue="1">
      <formula>IF(C$83&lt;&gt;$C$103,1,0)</formula>
    </cfRule>
  </conditionalFormatting>
  <conditionalFormatting sqref="C88:AG88">
    <cfRule type="expression" dxfId="527" priority="13" stopIfTrue="1">
      <formula>IF($B$88="",1,0)</formula>
    </cfRule>
    <cfRule type="expression" dxfId="526" priority="16" stopIfTrue="1">
      <formula>IF(C$88&lt;&gt;$C$108,1,0)</formula>
    </cfRule>
    <cfRule type="expression" dxfId="525" priority="17" stopIfTrue="1">
      <formula>IF(C$88=$C$108,1,0)</formula>
    </cfRule>
  </conditionalFormatting>
  <conditionalFormatting sqref="C87:AG87">
    <cfRule type="expression" dxfId="524" priority="12" stopIfTrue="1">
      <formula>IF($B$87="",1,0)</formula>
    </cfRule>
    <cfRule type="expression" dxfId="523" priority="14" stopIfTrue="1">
      <formula>IF(C$87&lt;&gt;$C$107,1,0)</formula>
    </cfRule>
    <cfRule type="expression" dxfId="522" priority="15" stopIfTrue="1">
      <formula>IF(C$87=$C$107,1,0)</formula>
    </cfRule>
  </conditionalFormatting>
  <dataValidations count="1">
    <dataValidation type="list" allowBlank="1" showInputMessage="1" showErrorMessage="1" sqref="B10:B49" xr:uid="{18A175CA-55CD-449D-A5D1-A161D545FED3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07BDA-647D-4BCA-81CB-21018C12603F}">
  <sheetPr codeName="Dienstplan22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April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1.4.2024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45383</v>
      </c>
      <c r="D6" s="100">
        <f t="shared" ref="D6:AG6" si="0">IF(MONTH(DATE(YEAR($L$3),MONTH($L$3),COLUMN()-COLUMN($B6)))&gt;MONTH($L$3),"",DATE(YEAR($L$3),MONTH($L$3),COLUMN()-COLUMN($B6)))</f>
        <v>45384</v>
      </c>
      <c r="E6" s="100">
        <f t="shared" si="0"/>
        <v>45385</v>
      </c>
      <c r="F6" s="100">
        <f t="shared" si="0"/>
        <v>45386</v>
      </c>
      <c r="G6" s="100">
        <f t="shared" si="0"/>
        <v>45387</v>
      </c>
      <c r="H6" s="100">
        <f t="shared" si="0"/>
        <v>45388</v>
      </c>
      <c r="I6" s="100">
        <f t="shared" si="0"/>
        <v>45389</v>
      </c>
      <c r="J6" s="100">
        <f t="shared" si="0"/>
        <v>45390</v>
      </c>
      <c r="K6" s="100">
        <f t="shared" si="0"/>
        <v>45391</v>
      </c>
      <c r="L6" s="100">
        <f t="shared" si="0"/>
        <v>45392</v>
      </c>
      <c r="M6" s="100">
        <f t="shared" si="0"/>
        <v>45393</v>
      </c>
      <c r="N6" s="100">
        <f t="shared" si="0"/>
        <v>45394</v>
      </c>
      <c r="O6" s="100">
        <f t="shared" si="0"/>
        <v>45395</v>
      </c>
      <c r="P6" s="100">
        <f t="shared" si="0"/>
        <v>45396</v>
      </c>
      <c r="Q6" s="100">
        <f t="shared" si="0"/>
        <v>45397</v>
      </c>
      <c r="R6" s="100">
        <f t="shared" si="0"/>
        <v>45398</v>
      </c>
      <c r="S6" s="100">
        <f t="shared" si="0"/>
        <v>45399</v>
      </c>
      <c r="T6" s="100">
        <f t="shared" si="0"/>
        <v>45400</v>
      </c>
      <c r="U6" s="100">
        <f t="shared" si="0"/>
        <v>45401</v>
      </c>
      <c r="V6" s="100">
        <f t="shared" si="0"/>
        <v>45402</v>
      </c>
      <c r="W6" s="100">
        <f t="shared" si="0"/>
        <v>45403</v>
      </c>
      <c r="X6" s="100">
        <f t="shared" si="0"/>
        <v>45404</v>
      </c>
      <c r="Y6" s="100">
        <f t="shared" si="0"/>
        <v>45405</v>
      </c>
      <c r="Z6" s="100">
        <f t="shared" si="0"/>
        <v>45406</v>
      </c>
      <c r="AA6" s="100">
        <f t="shared" si="0"/>
        <v>45407</v>
      </c>
      <c r="AB6" s="100">
        <f t="shared" si="0"/>
        <v>45408</v>
      </c>
      <c r="AC6" s="100">
        <f t="shared" si="0"/>
        <v>45409</v>
      </c>
      <c r="AD6" s="100">
        <f t="shared" si="0"/>
        <v>45410</v>
      </c>
      <c r="AE6" s="100">
        <f t="shared" si="0"/>
        <v>45411</v>
      </c>
      <c r="AF6" s="100">
        <f t="shared" si="0"/>
        <v>45412</v>
      </c>
      <c r="AG6" s="101" t="str">
        <f t="shared" si="0"/>
        <v/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45383</v>
      </c>
      <c r="D7" s="103">
        <f t="shared" ref="D7:AG7" si="1">IF(MONTH(DATE(YEAR($L$3),MONTH($L$3),COLUMN()-COLUMN($B6)))&gt;MONTH($L$3),"",DATE(YEAR($L$3),MONTH($L$3),COLUMN()-COLUMN($B6)))</f>
        <v>45384</v>
      </c>
      <c r="E7" s="103">
        <f t="shared" si="1"/>
        <v>45385</v>
      </c>
      <c r="F7" s="103">
        <f t="shared" si="1"/>
        <v>45386</v>
      </c>
      <c r="G7" s="103">
        <f t="shared" si="1"/>
        <v>45387</v>
      </c>
      <c r="H7" s="103">
        <f t="shared" si="1"/>
        <v>45388</v>
      </c>
      <c r="I7" s="103">
        <f t="shared" si="1"/>
        <v>45389</v>
      </c>
      <c r="J7" s="103">
        <f t="shared" si="1"/>
        <v>45390</v>
      </c>
      <c r="K7" s="103">
        <f t="shared" si="1"/>
        <v>45391</v>
      </c>
      <c r="L7" s="103">
        <f t="shared" si="1"/>
        <v>45392</v>
      </c>
      <c r="M7" s="103">
        <f t="shared" si="1"/>
        <v>45393</v>
      </c>
      <c r="N7" s="103">
        <f t="shared" si="1"/>
        <v>45394</v>
      </c>
      <c r="O7" s="103">
        <f t="shared" si="1"/>
        <v>45395</v>
      </c>
      <c r="P7" s="103">
        <f t="shared" si="1"/>
        <v>45396</v>
      </c>
      <c r="Q7" s="103">
        <f t="shared" si="1"/>
        <v>45397</v>
      </c>
      <c r="R7" s="103">
        <f t="shared" si="1"/>
        <v>45398</v>
      </c>
      <c r="S7" s="103">
        <f t="shared" si="1"/>
        <v>45399</v>
      </c>
      <c r="T7" s="103">
        <f t="shared" si="1"/>
        <v>45400</v>
      </c>
      <c r="U7" s="103">
        <f t="shared" si="1"/>
        <v>45401</v>
      </c>
      <c r="V7" s="103">
        <f t="shared" si="1"/>
        <v>45402</v>
      </c>
      <c r="W7" s="103">
        <f t="shared" si="1"/>
        <v>45403</v>
      </c>
      <c r="X7" s="103">
        <f t="shared" si="1"/>
        <v>45404</v>
      </c>
      <c r="Y7" s="103">
        <f t="shared" si="1"/>
        <v>45405</v>
      </c>
      <c r="Z7" s="103">
        <f t="shared" si="1"/>
        <v>45406</v>
      </c>
      <c r="AA7" s="103">
        <f t="shared" si="1"/>
        <v>45407</v>
      </c>
      <c r="AB7" s="103">
        <f t="shared" si="1"/>
        <v>45408</v>
      </c>
      <c r="AC7" s="103">
        <f t="shared" si="1"/>
        <v>45409</v>
      </c>
      <c r="AD7" s="103">
        <f t="shared" si="1"/>
        <v>45410</v>
      </c>
      <c r="AE7" s="103">
        <f t="shared" si="1"/>
        <v>45411</v>
      </c>
      <c r="AF7" s="103">
        <f t="shared" si="1"/>
        <v>45412</v>
      </c>
      <c r="AG7" s="104" t="str">
        <f t="shared" si="1"/>
        <v/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1</v>
      </c>
      <c r="D8" s="67">
        <f>IFERROR(WEEKDAY(D6,2), 0)</f>
        <v>2</v>
      </c>
      <c r="E8" s="67">
        <f t="shared" ref="E8:AG8" si="2">IFERROR(WEEKDAY(E6,2), 0)</f>
        <v>3</v>
      </c>
      <c r="F8" s="67">
        <f t="shared" si="2"/>
        <v>4</v>
      </c>
      <c r="G8" s="67">
        <f t="shared" si="2"/>
        <v>5</v>
      </c>
      <c r="H8" s="67">
        <f t="shared" si="2"/>
        <v>6</v>
      </c>
      <c r="I8" s="67">
        <f t="shared" si="2"/>
        <v>7</v>
      </c>
      <c r="J8" s="67">
        <f t="shared" si="2"/>
        <v>1</v>
      </c>
      <c r="K8" s="67">
        <f t="shared" si="2"/>
        <v>2</v>
      </c>
      <c r="L8" s="67">
        <f t="shared" si="2"/>
        <v>3</v>
      </c>
      <c r="M8" s="67">
        <f t="shared" si="2"/>
        <v>4</v>
      </c>
      <c r="N8" s="67">
        <f t="shared" si="2"/>
        <v>5</v>
      </c>
      <c r="O8" s="67">
        <f t="shared" si="2"/>
        <v>6</v>
      </c>
      <c r="P8" s="67">
        <f t="shared" si="2"/>
        <v>7</v>
      </c>
      <c r="Q8" s="67">
        <f t="shared" si="2"/>
        <v>1</v>
      </c>
      <c r="R8" s="67">
        <f t="shared" si="2"/>
        <v>2</v>
      </c>
      <c r="S8" s="67">
        <f t="shared" si="2"/>
        <v>3</v>
      </c>
      <c r="T8" s="67">
        <f t="shared" si="2"/>
        <v>4</v>
      </c>
      <c r="U8" s="67">
        <f t="shared" si="2"/>
        <v>5</v>
      </c>
      <c r="V8" s="67">
        <f t="shared" si="2"/>
        <v>6</v>
      </c>
      <c r="W8" s="67">
        <f t="shared" si="2"/>
        <v>7</v>
      </c>
      <c r="X8" s="67">
        <f t="shared" si="2"/>
        <v>1</v>
      </c>
      <c r="Y8" s="67">
        <f t="shared" si="2"/>
        <v>2</v>
      </c>
      <c r="Z8" s="67">
        <f t="shared" si="2"/>
        <v>3</v>
      </c>
      <c r="AA8" s="67">
        <f t="shared" si="2"/>
        <v>4</v>
      </c>
      <c r="AB8" s="67">
        <f t="shared" si="2"/>
        <v>5</v>
      </c>
      <c r="AC8" s="67">
        <f t="shared" si="2"/>
        <v>6</v>
      </c>
      <c r="AD8" s="67">
        <f t="shared" si="2"/>
        <v>7</v>
      </c>
      <c r="AE8" s="67">
        <f t="shared" si="2"/>
        <v>1</v>
      </c>
      <c r="AF8" s="67">
        <f t="shared" si="2"/>
        <v>2</v>
      </c>
      <c r="AG8" s="71">
        <f t="shared" si="2"/>
        <v>0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>FT</v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45383</v>
      </c>
      <c r="D78" s="160">
        <f t="shared" ref="D78:AG78" si="9">D7</f>
        <v>45384</v>
      </c>
      <c r="E78" s="160">
        <f t="shared" si="9"/>
        <v>45385</v>
      </c>
      <c r="F78" s="160">
        <f t="shared" si="9"/>
        <v>45386</v>
      </c>
      <c r="G78" s="160">
        <f t="shared" si="9"/>
        <v>45387</v>
      </c>
      <c r="H78" s="160">
        <f t="shared" si="9"/>
        <v>45388</v>
      </c>
      <c r="I78" s="160">
        <f t="shared" si="9"/>
        <v>45389</v>
      </c>
      <c r="J78" s="160">
        <f t="shared" si="9"/>
        <v>45390</v>
      </c>
      <c r="K78" s="160">
        <f t="shared" si="9"/>
        <v>45391</v>
      </c>
      <c r="L78" s="160">
        <f t="shared" si="9"/>
        <v>45392</v>
      </c>
      <c r="M78" s="160">
        <f t="shared" si="9"/>
        <v>45393</v>
      </c>
      <c r="N78" s="160">
        <f t="shared" si="9"/>
        <v>45394</v>
      </c>
      <c r="O78" s="160">
        <f t="shared" si="9"/>
        <v>45395</v>
      </c>
      <c r="P78" s="160">
        <f t="shared" si="9"/>
        <v>45396</v>
      </c>
      <c r="Q78" s="160">
        <f t="shared" si="9"/>
        <v>45397</v>
      </c>
      <c r="R78" s="160">
        <f t="shared" si="9"/>
        <v>45398</v>
      </c>
      <c r="S78" s="160">
        <f t="shared" si="9"/>
        <v>45399</v>
      </c>
      <c r="T78" s="160">
        <f t="shared" si="9"/>
        <v>45400</v>
      </c>
      <c r="U78" s="160">
        <f t="shared" si="9"/>
        <v>45401</v>
      </c>
      <c r="V78" s="160">
        <f t="shared" si="9"/>
        <v>45402</v>
      </c>
      <c r="W78" s="160">
        <f t="shared" si="9"/>
        <v>45403</v>
      </c>
      <c r="X78" s="160">
        <f t="shared" si="9"/>
        <v>45404</v>
      </c>
      <c r="Y78" s="160">
        <f t="shared" si="9"/>
        <v>45405</v>
      </c>
      <c r="Z78" s="160">
        <f t="shared" si="9"/>
        <v>45406</v>
      </c>
      <c r="AA78" s="160">
        <f t="shared" si="9"/>
        <v>45407</v>
      </c>
      <c r="AB78" s="160">
        <f t="shared" si="9"/>
        <v>45408</v>
      </c>
      <c r="AC78" s="160">
        <f t="shared" si="9"/>
        <v>45409</v>
      </c>
      <c r="AD78" s="160">
        <f t="shared" si="9"/>
        <v>45410</v>
      </c>
      <c r="AE78" s="160">
        <f t="shared" si="9"/>
        <v>45411</v>
      </c>
      <c r="AF78" s="160">
        <f t="shared" si="9"/>
        <v>45412</v>
      </c>
      <c r="AG78" s="160" t="str">
        <f t="shared" si="9"/>
        <v/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4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b6UHg/o8RE/rpXZKkB4HfdUEkbLbf1hO3s1YElHix4xXy+LuoVYspec7JQl9eiWwa/TVexbUuFYmYhdoOLZkmg==" saltValue="I824K3xFAZOIpTeauDvXbA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521" priority="30" stopIfTrue="1" operator="greaterThan">
      <formula>0</formula>
    </cfRule>
    <cfRule type="cellIs" dxfId="520" priority="42" stopIfTrue="1" operator="equal">
      <formula>0</formula>
    </cfRule>
  </conditionalFormatting>
  <conditionalFormatting sqref="C6:AG9">
    <cfRule type="expression" dxfId="519" priority="40">
      <formula>C$9="FT"</formula>
    </cfRule>
    <cfRule type="expression" dxfId="518" priority="41">
      <formula>C$8&gt;5</formula>
    </cfRule>
  </conditionalFormatting>
  <conditionalFormatting sqref="B50">
    <cfRule type="expression" dxfId="517" priority="38">
      <formula>B$50="WS"</formula>
    </cfRule>
    <cfRule type="expression" dxfId="516" priority="39">
      <formula>B$50="SZ"</formula>
    </cfRule>
  </conditionalFormatting>
  <conditionalFormatting sqref="C10:AG49">
    <cfRule type="expression" dxfId="515" priority="1" stopIfTrue="1">
      <formula>C10="FS"</formula>
    </cfRule>
    <cfRule type="expression" dxfId="514" priority="2">
      <formula>C10="K"</formula>
    </cfRule>
    <cfRule type="expression" dxfId="513" priority="3" stopIfTrue="1">
      <formula>C10="U"</formula>
    </cfRule>
    <cfRule type="expression" dxfId="512" priority="18">
      <formula>OR(C10="PT", C10="PN")</formula>
    </cfRule>
    <cfRule type="expression" dxfId="511" priority="19">
      <formula>C10="KT"</formula>
    </cfRule>
    <cfRule type="expression" dxfId="510" priority="20">
      <formula>OR(C10="KT", C10="T1", C10="HT", C10="T")</formula>
    </cfRule>
    <cfRule type="expression" dxfId="509" priority="32">
      <formula>C10="KN"</formula>
    </cfRule>
    <cfRule type="expression" dxfId="508" priority="33">
      <formula>OR(C10="KN", C10="N1", C10="HN", C10="N")</formula>
    </cfRule>
    <cfRule type="expression" dxfId="507" priority="34">
      <formula>C$9="FT"</formula>
    </cfRule>
    <cfRule type="expression" dxfId="506" priority="35">
      <formula>C$8&gt;5</formula>
    </cfRule>
    <cfRule type="expression" dxfId="505" priority="36">
      <formula>C10="S"</formula>
    </cfRule>
    <cfRule type="expression" dxfId="504" priority="37">
      <formula>C10="F"</formula>
    </cfRule>
  </conditionalFormatting>
  <conditionalFormatting sqref="C50:AG50">
    <cfRule type="expression" dxfId="503" priority="31" stopIfTrue="1">
      <formula>C$50="S"</formula>
    </cfRule>
  </conditionalFormatting>
  <conditionalFormatting sqref="AI10:AI49">
    <cfRule type="cellIs" dxfId="502" priority="28" stopIfTrue="1" operator="equal">
      <formula>0</formula>
    </cfRule>
    <cfRule type="cellIs" dxfId="501" priority="29" operator="greaterThan">
      <formula>0</formula>
    </cfRule>
  </conditionalFormatting>
  <conditionalFormatting sqref="AM10:AM49">
    <cfRule type="cellIs" dxfId="500" priority="26" stopIfTrue="1" operator="equal">
      <formula>0</formula>
    </cfRule>
    <cfRule type="cellIs" dxfId="499" priority="27" operator="greaterThan">
      <formula>0</formula>
    </cfRule>
  </conditionalFormatting>
  <conditionalFormatting sqref="AH10:AH49">
    <cfRule type="cellIs" dxfId="498" priority="25" operator="equal">
      <formula>0</formula>
    </cfRule>
  </conditionalFormatting>
  <conditionalFormatting sqref="AJ10:AK49">
    <cfRule type="cellIs" dxfId="497" priority="24" operator="equal">
      <formula>0</formula>
    </cfRule>
  </conditionalFormatting>
  <conditionalFormatting sqref="AL10:AL49">
    <cfRule type="cellIs" dxfId="496" priority="23" operator="equal">
      <formula>0</formula>
    </cfRule>
  </conditionalFormatting>
  <conditionalFormatting sqref="AN10:AP49">
    <cfRule type="cellIs" dxfId="495" priority="21" operator="equal">
      <formula>0</formula>
    </cfRule>
    <cfRule type="cellIs" dxfId="494" priority="22" stopIfTrue="1" operator="greaterThan">
      <formula>0</formula>
    </cfRule>
  </conditionalFormatting>
  <conditionalFormatting sqref="C84:AG84">
    <cfRule type="expression" dxfId="493" priority="9" stopIfTrue="1">
      <formula>IF($B$84="",1,0)</formula>
    </cfRule>
    <cfRule type="expression" dxfId="492" priority="43" stopIfTrue="1">
      <formula>IF(C$84&lt;&gt;$C$104,1,0)</formula>
    </cfRule>
    <cfRule type="expression" dxfId="491" priority="44" stopIfTrue="1">
      <formula>IF(C$84=$C$104,1,0)</formula>
    </cfRule>
  </conditionalFormatting>
  <conditionalFormatting sqref="C85:AG85">
    <cfRule type="expression" dxfId="490" priority="10" stopIfTrue="1">
      <formula>IF($B$85="",1,0)</formula>
    </cfRule>
    <cfRule type="expression" dxfId="489" priority="45">
      <formula>IF(C$85=$C$105,1,0)</formula>
    </cfRule>
    <cfRule type="expression" dxfId="488" priority="46">
      <formula>IF(C$85&lt;&gt;$C$105,1,0)</formula>
    </cfRule>
  </conditionalFormatting>
  <conditionalFormatting sqref="C86:AG86">
    <cfRule type="expression" dxfId="487" priority="11" stopIfTrue="1">
      <formula>IF($B$86="",1,0)</formula>
    </cfRule>
    <cfRule type="expression" dxfId="486" priority="47" stopIfTrue="1">
      <formula>IF(C$86&lt;&gt;$C$106,1,0)</formula>
    </cfRule>
    <cfRule type="expression" dxfId="485" priority="48" stopIfTrue="1">
      <formula>IF(C$86=$C$106,1,0)</formula>
    </cfRule>
  </conditionalFormatting>
  <conditionalFormatting sqref="C79:AG79">
    <cfRule type="expression" dxfId="484" priority="4">
      <formula>IF($B$79="",1,0)</formula>
    </cfRule>
    <cfRule type="expression" dxfId="483" priority="49">
      <formula>IF(C$79=$C$99,1,0)</formula>
    </cfRule>
    <cfRule type="expression" dxfId="482" priority="50">
      <formula>IF(C$79&lt;&gt;$C$99,1,0)</formula>
    </cfRule>
  </conditionalFormatting>
  <conditionalFormatting sqref="C81:AG81">
    <cfRule type="expression" dxfId="481" priority="6">
      <formula>IF($B$81="",1,0)</formula>
    </cfRule>
    <cfRule type="expression" dxfId="480" priority="51">
      <formula>IF(C$81=$C$101,1,0)</formula>
    </cfRule>
    <cfRule type="expression" dxfId="479" priority="52">
      <formula>IF(C$81&lt;&gt;$C$101,1,0)</formula>
    </cfRule>
  </conditionalFormatting>
  <conditionalFormatting sqref="C80:AG80">
    <cfRule type="expression" dxfId="478" priority="5">
      <formula>IF($B$80="",1,0)</formula>
    </cfRule>
    <cfRule type="expression" dxfId="477" priority="53">
      <formula>IF(C$80&lt;&gt;$C$100,1,0)</formula>
    </cfRule>
    <cfRule type="expression" dxfId="476" priority="54">
      <formula>IF(C$80=$C$100,1,0)</formula>
    </cfRule>
  </conditionalFormatting>
  <conditionalFormatting sqref="C82:AG82">
    <cfRule type="expression" dxfId="475" priority="7">
      <formula>IF($B$82="",1,0)</formula>
    </cfRule>
    <cfRule type="expression" dxfId="474" priority="55">
      <formula>IF(C$82&lt;&gt;$C$102,1,0)</formula>
    </cfRule>
    <cfRule type="expression" dxfId="473" priority="56">
      <formula>IF(C$82=$C$102,1,0)</formula>
    </cfRule>
  </conditionalFormatting>
  <conditionalFormatting sqref="C83:AG83">
    <cfRule type="expression" dxfId="472" priority="8" stopIfTrue="1">
      <formula>IF($B$83="",1,0)</formula>
    </cfRule>
    <cfRule type="expression" dxfId="471" priority="57" stopIfTrue="1">
      <formula>IF(C$83=$C$103,1,0)</formula>
    </cfRule>
    <cfRule type="expression" dxfId="470" priority="58" stopIfTrue="1">
      <formula>IF(C$83&lt;&gt;$C$103,1,0)</formula>
    </cfRule>
  </conditionalFormatting>
  <conditionalFormatting sqref="C88:AG88">
    <cfRule type="expression" dxfId="469" priority="13" stopIfTrue="1">
      <formula>IF($B$88="",1,0)</formula>
    </cfRule>
    <cfRule type="expression" dxfId="468" priority="16" stopIfTrue="1">
      <formula>IF(C$88&lt;&gt;$C$108,1,0)</formula>
    </cfRule>
    <cfRule type="expression" dxfId="467" priority="17" stopIfTrue="1">
      <formula>IF(C$88=$C$108,1,0)</formula>
    </cfRule>
  </conditionalFormatting>
  <conditionalFormatting sqref="C87:AG87">
    <cfRule type="expression" dxfId="466" priority="12" stopIfTrue="1">
      <formula>IF($B$87="",1,0)</formula>
    </cfRule>
    <cfRule type="expression" dxfId="465" priority="14" stopIfTrue="1">
      <formula>IF(C$87&lt;&gt;$C$107,1,0)</formula>
    </cfRule>
    <cfRule type="expression" dxfId="464" priority="15" stopIfTrue="1">
      <formula>IF(C$87=$C$107,1,0)</formula>
    </cfRule>
  </conditionalFormatting>
  <dataValidations count="1">
    <dataValidation type="list" allowBlank="1" showInputMessage="1" showErrorMessage="1" sqref="B10:B49" xr:uid="{95F4EB9F-6B93-4341-9808-C2AC0708A824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91BA-4DD4-4D27-AD05-27C597C139D7}">
  <sheetPr codeName="Dienstplan23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Mai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1.5.2024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45413</v>
      </c>
      <c r="D6" s="100">
        <f t="shared" ref="D6:AG6" si="0">IF(MONTH(DATE(YEAR($L$3),MONTH($L$3),COLUMN()-COLUMN($B6)))&gt;MONTH($L$3),"",DATE(YEAR($L$3),MONTH($L$3),COLUMN()-COLUMN($B6)))</f>
        <v>45414</v>
      </c>
      <c r="E6" s="100">
        <f t="shared" si="0"/>
        <v>45415</v>
      </c>
      <c r="F6" s="100">
        <f t="shared" si="0"/>
        <v>45416</v>
      </c>
      <c r="G6" s="100">
        <f t="shared" si="0"/>
        <v>45417</v>
      </c>
      <c r="H6" s="100">
        <f t="shared" si="0"/>
        <v>45418</v>
      </c>
      <c r="I6" s="100">
        <f t="shared" si="0"/>
        <v>45419</v>
      </c>
      <c r="J6" s="100">
        <f t="shared" si="0"/>
        <v>45420</v>
      </c>
      <c r="K6" s="100">
        <f t="shared" si="0"/>
        <v>45421</v>
      </c>
      <c r="L6" s="100">
        <f t="shared" si="0"/>
        <v>45422</v>
      </c>
      <c r="M6" s="100">
        <f t="shared" si="0"/>
        <v>45423</v>
      </c>
      <c r="N6" s="100">
        <f t="shared" si="0"/>
        <v>45424</v>
      </c>
      <c r="O6" s="100">
        <f t="shared" si="0"/>
        <v>45425</v>
      </c>
      <c r="P6" s="100">
        <f t="shared" si="0"/>
        <v>45426</v>
      </c>
      <c r="Q6" s="100">
        <f t="shared" si="0"/>
        <v>45427</v>
      </c>
      <c r="R6" s="100">
        <f t="shared" si="0"/>
        <v>45428</v>
      </c>
      <c r="S6" s="100">
        <f t="shared" si="0"/>
        <v>45429</v>
      </c>
      <c r="T6" s="100">
        <f t="shared" si="0"/>
        <v>45430</v>
      </c>
      <c r="U6" s="100">
        <f t="shared" si="0"/>
        <v>45431</v>
      </c>
      <c r="V6" s="100">
        <f t="shared" si="0"/>
        <v>45432</v>
      </c>
      <c r="W6" s="100">
        <f t="shared" si="0"/>
        <v>45433</v>
      </c>
      <c r="X6" s="100">
        <f t="shared" si="0"/>
        <v>45434</v>
      </c>
      <c r="Y6" s="100">
        <f t="shared" si="0"/>
        <v>45435</v>
      </c>
      <c r="Z6" s="100">
        <f t="shared" si="0"/>
        <v>45436</v>
      </c>
      <c r="AA6" s="100">
        <f t="shared" si="0"/>
        <v>45437</v>
      </c>
      <c r="AB6" s="100">
        <f t="shared" si="0"/>
        <v>45438</v>
      </c>
      <c r="AC6" s="100">
        <f t="shared" si="0"/>
        <v>45439</v>
      </c>
      <c r="AD6" s="100">
        <f t="shared" si="0"/>
        <v>45440</v>
      </c>
      <c r="AE6" s="100">
        <f t="shared" si="0"/>
        <v>45441</v>
      </c>
      <c r="AF6" s="100">
        <f t="shared" si="0"/>
        <v>45442</v>
      </c>
      <c r="AG6" s="101">
        <f t="shared" si="0"/>
        <v>45443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45413</v>
      </c>
      <c r="D7" s="103">
        <f t="shared" ref="D7:AG7" si="1">IF(MONTH(DATE(YEAR($L$3),MONTH($L$3),COLUMN()-COLUMN($B6)))&gt;MONTH($L$3),"",DATE(YEAR($L$3),MONTH($L$3),COLUMN()-COLUMN($B6)))</f>
        <v>45414</v>
      </c>
      <c r="E7" s="103">
        <f t="shared" si="1"/>
        <v>45415</v>
      </c>
      <c r="F7" s="103">
        <f t="shared" si="1"/>
        <v>45416</v>
      </c>
      <c r="G7" s="103">
        <f t="shared" si="1"/>
        <v>45417</v>
      </c>
      <c r="H7" s="103">
        <f t="shared" si="1"/>
        <v>45418</v>
      </c>
      <c r="I7" s="103">
        <f t="shared" si="1"/>
        <v>45419</v>
      </c>
      <c r="J7" s="103">
        <f t="shared" si="1"/>
        <v>45420</v>
      </c>
      <c r="K7" s="103">
        <f t="shared" si="1"/>
        <v>45421</v>
      </c>
      <c r="L7" s="103">
        <f t="shared" si="1"/>
        <v>45422</v>
      </c>
      <c r="M7" s="103">
        <f t="shared" si="1"/>
        <v>45423</v>
      </c>
      <c r="N7" s="103">
        <f t="shared" si="1"/>
        <v>45424</v>
      </c>
      <c r="O7" s="103">
        <f t="shared" si="1"/>
        <v>45425</v>
      </c>
      <c r="P7" s="103">
        <f t="shared" si="1"/>
        <v>45426</v>
      </c>
      <c r="Q7" s="103">
        <f t="shared" si="1"/>
        <v>45427</v>
      </c>
      <c r="R7" s="103">
        <f t="shared" si="1"/>
        <v>45428</v>
      </c>
      <c r="S7" s="103">
        <f t="shared" si="1"/>
        <v>45429</v>
      </c>
      <c r="T7" s="103">
        <f t="shared" si="1"/>
        <v>45430</v>
      </c>
      <c r="U7" s="103">
        <f t="shared" si="1"/>
        <v>45431</v>
      </c>
      <c r="V7" s="103">
        <f t="shared" si="1"/>
        <v>45432</v>
      </c>
      <c r="W7" s="103">
        <f t="shared" si="1"/>
        <v>45433</v>
      </c>
      <c r="X7" s="103">
        <f t="shared" si="1"/>
        <v>45434</v>
      </c>
      <c r="Y7" s="103">
        <f t="shared" si="1"/>
        <v>45435</v>
      </c>
      <c r="Z7" s="103">
        <f t="shared" si="1"/>
        <v>45436</v>
      </c>
      <c r="AA7" s="103">
        <f t="shared" si="1"/>
        <v>45437</v>
      </c>
      <c r="AB7" s="103">
        <f t="shared" si="1"/>
        <v>45438</v>
      </c>
      <c r="AC7" s="103">
        <f t="shared" si="1"/>
        <v>45439</v>
      </c>
      <c r="AD7" s="103">
        <f t="shared" si="1"/>
        <v>45440</v>
      </c>
      <c r="AE7" s="103">
        <f t="shared" si="1"/>
        <v>45441</v>
      </c>
      <c r="AF7" s="103">
        <f t="shared" si="1"/>
        <v>45442</v>
      </c>
      <c r="AG7" s="104">
        <f t="shared" si="1"/>
        <v>45443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3</v>
      </c>
      <c r="D8" s="67">
        <f>IFERROR(WEEKDAY(D6,2), 0)</f>
        <v>4</v>
      </c>
      <c r="E8" s="67">
        <f t="shared" ref="E8:AG8" si="2">IFERROR(WEEKDAY(E6,2), 0)</f>
        <v>5</v>
      </c>
      <c r="F8" s="67">
        <f t="shared" si="2"/>
        <v>6</v>
      </c>
      <c r="G8" s="67">
        <f t="shared" si="2"/>
        <v>7</v>
      </c>
      <c r="H8" s="67">
        <f t="shared" si="2"/>
        <v>1</v>
      </c>
      <c r="I8" s="67">
        <f t="shared" si="2"/>
        <v>2</v>
      </c>
      <c r="J8" s="67">
        <f t="shared" si="2"/>
        <v>3</v>
      </c>
      <c r="K8" s="67">
        <f t="shared" si="2"/>
        <v>4</v>
      </c>
      <c r="L8" s="67">
        <f t="shared" si="2"/>
        <v>5</v>
      </c>
      <c r="M8" s="67">
        <f t="shared" si="2"/>
        <v>6</v>
      </c>
      <c r="N8" s="67">
        <f t="shared" si="2"/>
        <v>7</v>
      </c>
      <c r="O8" s="67">
        <f t="shared" si="2"/>
        <v>1</v>
      </c>
      <c r="P8" s="67">
        <f t="shared" si="2"/>
        <v>2</v>
      </c>
      <c r="Q8" s="67">
        <f t="shared" si="2"/>
        <v>3</v>
      </c>
      <c r="R8" s="67">
        <f t="shared" si="2"/>
        <v>4</v>
      </c>
      <c r="S8" s="67">
        <f t="shared" si="2"/>
        <v>5</v>
      </c>
      <c r="T8" s="67">
        <f t="shared" si="2"/>
        <v>6</v>
      </c>
      <c r="U8" s="67">
        <f t="shared" si="2"/>
        <v>7</v>
      </c>
      <c r="V8" s="67">
        <f t="shared" si="2"/>
        <v>1</v>
      </c>
      <c r="W8" s="67">
        <f t="shared" si="2"/>
        <v>2</v>
      </c>
      <c r="X8" s="67">
        <f t="shared" si="2"/>
        <v>3</v>
      </c>
      <c r="Y8" s="67">
        <f t="shared" si="2"/>
        <v>4</v>
      </c>
      <c r="Z8" s="67">
        <f t="shared" si="2"/>
        <v>5</v>
      </c>
      <c r="AA8" s="67">
        <f t="shared" si="2"/>
        <v>6</v>
      </c>
      <c r="AB8" s="67">
        <f t="shared" si="2"/>
        <v>7</v>
      </c>
      <c r="AC8" s="67">
        <f t="shared" si="2"/>
        <v>1</v>
      </c>
      <c r="AD8" s="67">
        <f t="shared" si="2"/>
        <v>2</v>
      </c>
      <c r="AE8" s="67">
        <f t="shared" si="2"/>
        <v>3</v>
      </c>
      <c r="AF8" s="67">
        <f t="shared" si="2"/>
        <v>4</v>
      </c>
      <c r="AG8" s="71">
        <f t="shared" si="2"/>
        <v>5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>FT</v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>FT</v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>FT</v>
      </c>
      <c r="V9" s="13" t="str">
        <f>IF(ISNA(VLOOKUP(V$6,Einstellungen!$B$8:$B$22,1,0)),"","FT")</f>
        <v>FT</v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>FT</v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 t="s">
        <v>103</v>
      </c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45413</v>
      </c>
      <c r="D78" s="160">
        <f t="shared" ref="D78:AG78" si="9">D7</f>
        <v>45414</v>
      </c>
      <c r="E78" s="160">
        <f t="shared" si="9"/>
        <v>45415</v>
      </c>
      <c r="F78" s="160">
        <f t="shared" si="9"/>
        <v>45416</v>
      </c>
      <c r="G78" s="160">
        <f t="shared" si="9"/>
        <v>45417</v>
      </c>
      <c r="H78" s="160">
        <f t="shared" si="9"/>
        <v>45418</v>
      </c>
      <c r="I78" s="160">
        <f t="shared" si="9"/>
        <v>45419</v>
      </c>
      <c r="J78" s="160">
        <f t="shared" si="9"/>
        <v>45420</v>
      </c>
      <c r="K78" s="160">
        <f t="shared" si="9"/>
        <v>45421</v>
      </c>
      <c r="L78" s="160">
        <f t="shared" si="9"/>
        <v>45422</v>
      </c>
      <c r="M78" s="160">
        <f t="shared" si="9"/>
        <v>45423</v>
      </c>
      <c r="N78" s="160">
        <f t="shared" si="9"/>
        <v>45424</v>
      </c>
      <c r="O78" s="160">
        <f t="shared" si="9"/>
        <v>45425</v>
      </c>
      <c r="P78" s="160">
        <f t="shared" si="9"/>
        <v>45426</v>
      </c>
      <c r="Q78" s="160">
        <f t="shared" si="9"/>
        <v>45427</v>
      </c>
      <c r="R78" s="160">
        <f t="shared" si="9"/>
        <v>45428</v>
      </c>
      <c r="S78" s="160">
        <f t="shared" si="9"/>
        <v>45429</v>
      </c>
      <c r="T78" s="160">
        <f t="shared" si="9"/>
        <v>45430</v>
      </c>
      <c r="U78" s="160">
        <f t="shared" si="9"/>
        <v>45431</v>
      </c>
      <c r="V78" s="160">
        <f t="shared" si="9"/>
        <v>45432</v>
      </c>
      <c r="W78" s="160">
        <f t="shared" si="9"/>
        <v>45433</v>
      </c>
      <c r="X78" s="160">
        <f t="shared" si="9"/>
        <v>45434</v>
      </c>
      <c r="Y78" s="160">
        <f t="shared" si="9"/>
        <v>45435</v>
      </c>
      <c r="Z78" s="160">
        <f t="shared" si="9"/>
        <v>45436</v>
      </c>
      <c r="AA78" s="160">
        <f t="shared" si="9"/>
        <v>45437</v>
      </c>
      <c r="AB78" s="160">
        <f t="shared" si="9"/>
        <v>45438</v>
      </c>
      <c r="AC78" s="160">
        <f t="shared" si="9"/>
        <v>45439</v>
      </c>
      <c r="AD78" s="160">
        <f t="shared" si="9"/>
        <v>45440</v>
      </c>
      <c r="AE78" s="160">
        <f t="shared" si="9"/>
        <v>45441</v>
      </c>
      <c r="AF78" s="160">
        <f t="shared" si="9"/>
        <v>45442</v>
      </c>
      <c r="AG78" s="160">
        <f t="shared" si="9"/>
        <v>45443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5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1V0EjWoIYAax1NjO6O4S0Sq8bZMtmMlxXGDpdCHHeGrEEtMdIhx2f4EJsUgsyJpXb4m74kQ9LBsTRAMB6ylERg==" saltValue="wZB6O1NQqAj1D3wTLAKkxQ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463" priority="30" stopIfTrue="1" operator="greaterThan">
      <formula>0</formula>
    </cfRule>
    <cfRule type="cellIs" dxfId="462" priority="42" stopIfTrue="1" operator="equal">
      <formula>0</formula>
    </cfRule>
  </conditionalFormatting>
  <conditionalFormatting sqref="C6:AG9">
    <cfRule type="expression" dxfId="461" priority="40">
      <formula>C$9="FT"</formula>
    </cfRule>
    <cfRule type="expression" dxfId="460" priority="41">
      <formula>C$8&gt;5</formula>
    </cfRule>
  </conditionalFormatting>
  <conditionalFormatting sqref="B50">
    <cfRule type="expression" dxfId="459" priority="38">
      <formula>B$50="WS"</formula>
    </cfRule>
    <cfRule type="expression" dxfId="458" priority="39">
      <formula>B$50="SZ"</formula>
    </cfRule>
  </conditionalFormatting>
  <conditionalFormatting sqref="C10:AG49">
    <cfRule type="expression" dxfId="457" priority="1" stopIfTrue="1">
      <formula>C10="FS"</formula>
    </cfRule>
    <cfRule type="expression" dxfId="456" priority="2">
      <formula>C10="K"</formula>
    </cfRule>
    <cfRule type="expression" dxfId="455" priority="3" stopIfTrue="1">
      <formula>C10="U"</formula>
    </cfRule>
    <cfRule type="expression" dxfId="454" priority="18">
      <formula>OR(C10="PT", C10="PN")</formula>
    </cfRule>
    <cfRule type="expression" dxfId="453" priority="19">
      <formula>C10="KT"</formula>
    </cfRule>
    <cfRule type="expression" dxfId="452" priority="20">
      <formula>OR(C10="KT", C10="T1", C10="HT", C10="T")</formula>
    </cfRule>
    <cfRule type="expression" dxfId="451" priority="32">
      <formula>C10="KN"</formula>
    </cfRule>
    <cfRule type="expression" dxfId="450" priority="33">
      <formula>OR(C10="KN", C10="N1", C10="HN", C10="N")</formula>
    </cfRule>
    <cfRule type="expression" dxfId="449" priority="34">
      <formula>C$9="FT"</formula>
    </cfRule>
    <cfRule type="expression" dxfId="448" priority="35">
      <formula>C$8&gt;5</formula>
    </cfRule>
    <cfRule type="expression" dxfId="447" priority="36">
      <formula>C10="S"</formula>
    </cfRule>
    <cfRule type="expression" dxfId="446" priority="37">
      <formula>C10="F"</formula>
    </cfRule>
  </conditionalFormatting>
  <conditionalFormatting sqref="C50:AG50">
    <cfRule type="expression" dxfId="445" priority="31" stopIfTrue="1">
      <formula>C$50="S"</formula>
    </cfRule>
  </conditionalFormatting>
  <conditionalFormatting sqref="AI10:AI49">
    <cfRule type="cellIs" dxfId="444" priority="28" stopIfTrue="1" operator="equal">
      <formula>0</formula>
    </cfRule>
    <cfRule type="cellIs" dxfId="443" priority="29" operator="greaterThan">
      <formula>0</formula>
    </cfRule>
  </conditionalFormatting>
  <conditionalFormatting sqref="AM10:AM49">
    <cfRule type="cellIs" dxfId="442" priority="26" stopIfTrue="1" operator="equal">
      <formula>0</formula>
    </cfRule>
    <cfRule type="cellIs" dxfId="441" priority="27" operator="greaterThan">
      <formula>0</formula>
    </cfRule>
  </conditionalFormatting>
  <conditionalFormatting sqref="AH10:AH49">
    <cfRule type="cellIs" dxfId="440" priority="25" operator="equal">
      <formula>0</formula>
    </cfRule>
  </conditionalFormatting>
  <conditionalFormatting sqref="AJ10:AK49">
    <cfRule type="cellIs" dxfId="439" priority="24" operator="equal">
      <formula>0</formula>
    </cfRule>
  </conditionalFormatting>
  <conditionalFormatting sqref="AL10:AL49">
    <cfRule type="cellIs" dxfId="438" priority="23" operator="equal">
      <formula>0</formula>
    </cfRule>
  </conditionalFormatting>
  <conditionalFormatting sqref="AN10:AP49">
    <cfRule type="cellIs" dxfId="437" priority="21" operator="equal">
      <formula>0</formula>
    </cfRule>
    <cfRule type="cellIs" dxfId="436" priority="22" stopIfTrue="1" operator="greaterThan">
      <formula>0</formula>
    </cfRule>
  </conditionalFormatting>
  <conditionalFormatting sqref="C84:AG84">
    <cfRule type="expression" dxfId="435" priority="9" stopIfTrue="1">
      <formula>IF($B$84="",1,0)</formula>
    </cfRule>
    <cfRule type="expression" dxfId="434" priority="43" stopIfTrue="1">
      <formula>IF(C$84&lt;&gt;$C$104,1,0)</formula>
    </cfRule>
    <cfRule type="expression" dxfId="433" priority="44" stopIfTrue="1">
      <formula>IF(C$84=$C$104,1,0)</formula>
    </cfRule>
  </conditionalFormatting>
  <conditionalFormatting sqref="C85:AG85">
    <cfRule type="expression" dxfId="432" priority="10" stopIfTrue="1">
      <formula>IF($B$85="",1,0)</formula>
    </cfRule>
    <cfRule type="expression" dxfId="431" priority="45">
      <formula>IF(C$85=$C$105,1,0)</formula>
    </cfRule>
    <cfRule type="expression" dxfId="430" priority="46">
      <formula>IF(C$85&lt;&gt;$C$105,1,0)</formula>
    </cfRule>
  </conditionalFormatting>
  <conditionalFormatting sqref="C86:AG86">
    <cfRule type="expression" dxfId="429" priority="11" stopIfTrue="1">
      <formula>IF($B$86="",1,0)</formula>
    </cfRule>
    <cfRule type="expression" dxfId="428" priority="47" stopIfTrue="1">
      <formula>IF(C$86&lt;&gt;$C$106,1,0)</formula>
    </cfRule>
    <cfRule type="expression" dxfId="427" priority="48" stopIfTrue="1">
      <formula>IF(C$86=$C$106,1,0)</formula>
    </cfRule>
  </conditionalFormatting>
  <conditionalFormatting sqref="C79:AG79">
    <cfRule type="expression" dxfId="426" priority="4">
      <formula>IF($B$79="",1,0)</formula>
    </cfRule>
    <cfRule type="expression" dxfId="425" priority="49">
      <formula>IF(C$79=$C$99,1,0)</formula>
    </cfRule>
    <cfRule type="expression" dxfId="424" priority="50">
      <formula>IF(C$79&lt;&gt;$C$99,1,0)</formula>
    </cfRule>
  </conditionalFormatting>
  <conditionalFormatting sqref="C81:AG81">
    <cfRule type="expression" dxfId="423" priority="6">
      <formula>IF($B$81="",1,0)</formula>
    </cfRule>
    <cfRule type="expression" dxfId="422" priority="51">
      <formula>IF(C$81=$C$101,1,0)</formula>
    </cfRule>
    <cfRule type="expression" dxfId="421" priority="52">
      <formula>IF(C$81&lt;&gt;$C$101,1,0)</formula>
    </cfRule>
  </conditionalFormatting>
  <conditionalFormatting sqref="C80:AG80">
    <cfRule type="expression" dxfId="420" priority="5">
      <formula>IF($B$80="",1,0)</formula>
    </cfRule>
    <cfRule type="expression" dxfId="419" priority="53">
      <formula>IF(C$80&lt;&gt;$C$100,1,0)</formula>
    </cfRule>
    <cfRule type="expression" dxfId="418" priority="54">
      <formula>IF(C$80=$C$100,1,0)</formula>
    </cfRule>
  </conditionalFormatting>
  <conditionalFormatting sqref="C82:AG82">
    <cfRule type="expression" dxfId="417" priority="7">
      <formula>IF($B$82="",1,0)</formula>
    </cfRule>
    <cfRule type="expression" dxfId="416" priority="55">
      <formula>IF(C$82&lt;&gt;$C$102,1,0)</formula>
    </cfRule>
    <cfRule type="expression" dxfId="415" priority="56">
      <formula>IF(C$82=$C$102,1,0)</formula>
    </cfRule>
  </conditionalFormatting>
  <conditionalFormatting sqref="C83:AG83">
    <cfRule type="expression" dxfId="414" priority="8" stopIfTrue="1">
      <formula>IF($B$83="",1,0)</formula>
    </cfRule>
    <cfRule type="expression" dxfId="413" priority="57" stopIfTrue="1">
      <formula>IF(C$83=$C$103,1,0)</formula>
    </cfRule>
    <cfRule type="expression" dxfId="412" priority="58" stopIfTrue="1">
      <formula>IF(C$83&lt;&gt;$C$103,1,0)</formula>
    </cfRule>
  </conditionalFormatting>
  <conditionalFormatting sqref="C88:AG88">
    <cfRule type="expression" dxfId="411" priority="13" stopIfTrue="1">
      <formula>IF($B$88="",1,0)</formula>
    </cfRule>
    <cfRule type="expression" dxfId="410" priority="16" stopIfTrue="1">
      <formula>IF(C$88&lt;&gt;$C$108,1,0)</formula>
    </cfRule>
    <cfRule type="expression" dxfId="409" priority="17" stopIfTrue="1">
      <formula>IF(C$88=$C$108,1,0)</formula>
    </cfRule>
  </conditionalFormatting>
  <conditionalFormatting sqref="C87:AG87">
    <cfRule type="expression" dxfId="408" priority="12" stopIfTrue="1">
      <formula>IF($B$87="",1,0)</formula>
    </cfRule>
    <cfRule type="expression" dxfId="407" priority="14" stopIfTrue="1">
      <formula>IF(C$87&lt;&gt;$C$107,1,0)</formula>
    </cfRule>
    <cfRule type="expression" dxfId="406" priority="15" stopIfTrue="1">
      <formula>IF(C$87=$C$107,1,0)</formula>
    </cfRule>
  </conditionalFormatting>
  <dataValidations count="1">
    <dataValidation type="list" allowBlank="1" showInputMessage="1" showErrorMessage="1" sqref="B10:B49" xr:uid="{48CD14DA-42DE-495A-941B-9DF797323866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40F88-A67E-473D-A1CF-0F473BCE2489}">
  <sheetPr codeName="Dienstplan24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Juni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1.6.2024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45444</v>
      </c>
      <c r="D6" s="100">
        <f t="shared" ref="D6:AG6" si="0">IF(MONTH(DATE(YEAR($L$3),MONTH($L$3),COLUMN()-COLUMN($B6)))&gt;MONTH($L$3),"",DATE(YEAR($L$3),MONTH($L$3),COLUMN()-COLUMN($B6)))</f>
        <v>45445</v>
      </c>
      <c r="E6" s="100">
        <f t="shared" si="0"/>
        <v>45446</v>
      </c>
      <c r="F6" s="100">
        <f t="shared" si="0"/>
        <v>45447</v>
      </c>
      <c r="G6" s="100">
        <f t="shared" si="0"/>
        <v>45448</v>
      </c>
      <c r="H6" s="100">
        <f t="shared" si="0"/>
        <v>45449</v>
      </c>
      <c r="I6" s="100">
        <f t="shared" si="0"/>
        <v>45450</v>
      </c>
      <c r="J6" s="100">
        <f t="shared" si="0"/>
        <v>45451</v>
      </c>
      <c r="K6" s="100">
        <f t="shared" si="0"/>
        <v>45452</v>
      </c>
      <c r="L6" s="100">
        <f t="shared" si="0"/>
        <v>45453</v>
      </c>
      <c r="M6" s="100">
        <f t="shared" si="0"/>
        <v>45454</v>
      </c>
      <c r="N6" s="100">
        <f t="shared" si="0"/>
        <v>45455</v>
      </c>
      <c r="O6" s="100">
        <f t="shared" si="0"/>
        <v>45456</v>
      </c>
      <c r="P6" s="100">
        <f t="shared" si="0"/>
        <v>45457</v>
      </c>
      <c r="Q6" s="100">
        <f t="shared" si="0"/>
        <v>45458</v>
      </c>
      <c r="R6" s="100">
        <f t="shared" si="0"/>
        <v>45459</v>
      </c>
      <c r="S6" s="100">
        <f t="shared" si="0"/>
        <v>45460</v>
      </c>
      <c r="T6" s="100">
        <f t="shared" si="0"/>
        <v>45461</v>
      </c>
      <c r="U6" s="100">
        <f t="shared" si="0"/>
        <v>45462</v>
      </c>
      <c r="V6" s="100">
        <f t="shared" si="0"/>
        <v>45463</v>
      </c>
      <c r="W6" s="100">
        <f t="shared" si="0"/>
        <v>45464</v>
      </c>
      <c r="X6" s="100">
        <f t="shared" si="0"/>
        <v>45465</v>
      </c>
      <c r="Y6" s="100">
        <f t="shared" si="0"/>
        <v>45466</v>
      </c>
      <c r="Z6" s="100">
        <f t="shared" si="0"/>
        <v>45467</v>
      </c>
      <c r="AA6" s="100">
        <f t="shared" si="0"/>
        <v>45468</v>
      </c>
      <c r="AB6" s="100">
        <f t="shared" si="0"/>
        <v>45469</v>
      </c>
      <c r="AC6" s="100">
        <f t="shared" si="0"/>
        <v>45470</v>
      </c>
      <c r="AD6" s="100">
        <f t="shared" si="0"/>
        <v>45471</v>
      </c>
      <c r="AE6" s="100">
        <f t="shared" si="0"/>
        <v>45472</v>
      </c>
      <c r="AF6" s="100">
        <f t="shared" si="0"/>
        <v>45473</v>
      </c>
      <c r="AG6" s="101" t="str">
        <f t="shared" si="0"/>
        <v/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45444</v>
      </c>
      <c r="D7" s="103">
        <f t="shared" ref="D7:AG7" si="1">IF(MONTH(DATE(YEAR($L$3),MONTH($L$3),COLUMN()-COLUMN($B6)))&gt;MONTH($L$3),"",DATE(YEAR($L$3),MONTH($L$3),COLUMN()-COLUMN($B6)))</f>
        <v>45445</v>
      </c>
      <c r="E7" s="103">
        <f t="shared" si="1"/>
        <v>45446</v>
      </c>
      <c r="F7" s="103">
        <f t="shared" si="1"/>
        <v>45447</v>
      </c>
      <c r="G7" s="103">
        <f t="shared" si="1"/>
        <v>45448</v>
      </c>
      <c r="H7" s="103">
        <f t="shared" si="1"/>
        <v>45449</v>
      </c>
      <c r="I7" s="103">
        <f t="shared" si="1"/>
        <v>45450</v>
      </c>
      <c r="J7" s="103">
        <f t="shared" si="1"/>
        <v>45451</v>
      </c>
      <c r="K7" s="103">
        <f t="shared" si="1"/>
        <v>45452</v>
      </c>
      <c r="L7" s="103">
        <f t="shared" si="1"/>
        <v>45453</v>
      </c>
      <c r="M7" s="103">
        <f t="shared" si="1"/>
        <v>45454</v>
      </c>
      <c r="N7" s="103">
        <f t="shared" si="1"/>
        <v>45455</v>
      </c>
      <c r="O7" s="103">
        <f t="shared" si="1"/>
        <v>45456</v>
      </c>
      <c r="P7" s="103">
        <f t="shared" si="1"/>
        <v>45457</v>
      </c>
      <c r="Q7" s="103">
        <f t="shared" si="1"/>
        <v>45458</v>
      </c>
      <c r="R7" s="103">
        <f t="shared" si="1"/>
        <v>45459</v>
      </c>
      <c r="S7" s="103">
        <f t="shared" si="1"/>
        <v>45460</v>
      </c>
      <c r="T7" s="103">
        <f t="shared" si="1"/>
        <v>45461</v>
      </c>
      <c r="U7" s="103">
        <f t="shared" si="1"/>
        <v>45462</v>
      </c>
      <c r="V7" s="103">
        <f t="shared" si="1"/>
        <v>45463</v>
      </c>
      <c r="W7" s="103">
        <f t="shared" si="1"/>
        <v>45464</v>
      </c>
      <c r="X7" s="103">
        <f t="shared" si="1"/>
        <v>45465</v>
      </c>
      <c r="Y7" s="103">
        <f t="shared" si="1"/>
        <v>45466</v>
      </c>
      <c r="Z7" s="103">
        <f t="shared" si="1"/>
        <v>45467</v>
      </c>
      <c r="AA7" s="103">
        <f t="shared" si="1"/>
        <v>45468</v>
      </c>
      <c r="AB7" s="103">
        <f t="shared" si="1"/>
        <v>45469</v>
      </c>
      <c r="AC7" s="103">
        <f t="shared" si="1"/>
        <v>45470</v>
      </c>
      <c r="AD7" s="103">
        <f t="shared" si="1"/>
        <v>45471</v>
      </c>
      <c r="AE7" s="103">
        <f t="shared" si="1"/>
        <v>45472</v>
      </c>
      <c r="AF7" s="103">
        <f t="shared" si="1"/>
        <v>45473</v>
      </c>
      <c r="AG7" s="104" t="str">
        <f t="shared" si="1"/>
        <v/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6</v>
      </c>
      <c r="D8" s="67">
        <f>IFERROR(WEEKDAY(D6,2), 0)</f>
        <v>7</v>
      </c>
      <c r="E8" s="67">
        <f t="shared" ref="E8:AG8" si="2">IFERROR(WEEKDAY(E6,2), 0)</f>
        <v>1</v>
      </c>
      <c r="F8" s="67">
        <f t="shared" si="2"/>
        <v>2</v>
      </c>
      <c r="G8" s="67">
        <f t="shared" si="2"/>
        <v>3</v>
      </c>
      <c r="H8" s="67">
        <f t="shared" si="2"/>
        <v>4</v>
      </c>
      <c r="I8" s="67">
        <f t="shared" si="2"/>
        <v>5</v>
      </c>
      <c r="J8" s="67">
        <f t="shared" si="2"/>
        <v>6</v>
      </c>
      <c r="K8" s="67">
        <f t="shared" si="2"/>
        <v>7</v>
      </c>
      <c r="L8" s="67">
        <f t="shared" si="2"/>
        <v>1</v>
      </c>
      <c r="M8" s="67">
        <f t="shared" si="2"/>
        <v>2</v>
      </c>
      <c r="N8" s="67">
        <f t="shared" si="2"/>
        <v>3</v>
      </c>
      <c r="O8" s="67">
        <f t="shared" si="2"/>
        <v>4</v>
      </c>
      <c r="P8" s="67">
        <f t="shared" si="2"/>
        <v>5</v>
      </c>
      <c r="Q8" s="67">
        <f t="shared" si="2"/>
        <v>6</v>
      </c>
      <c r="R8" s="67">
        <f t="shared" si="2"/>
        <v>7</v>
      </c>
      <c r="S8" s="67">
        <f t="shared" si="2"/>
        <v>1</v>
      </c>
      <c r="T8" s="67">
        <f t="shared" si="2"/>
        <v>2</v>
      </c>
      <c r="U8" s="67">
        <f t="shared" si="2"/>
        <v>3</v>
      </c>
      <c r="V8" s="67">
        <f t="shared" si="2"/>
        <v>4</v>
      </c>
      <c r="W8" s="67">
        <f t="shared" si="2"/>
        <v>5</v>
      </c>
      <c r="X8" s="67">
        <f t="shared" si="2"/>
        <v>6</v>
      </c>
      <c r="Y8" s="67">
        <f t="shared" si="2"/>
        <v>7</v>
      </c>
      <c r="Z8" s="67">
        <f t="shared" si="2"/>
        <v>1</v>
      </c>
      <c r="AA8" s="67">
        <f t="shared" si="2"/>
        <v>2</v>
      </c>
      <c r="AB8" s="67">
        <f t="shared" si="2"/>
        <v>3</v>
      </c>
      <c r="AC8" s="67">
        <f t="shared" si="2"/>
        <v>4</v>
      </c>
      <c r="AD8" s="67">
        <f t="shared" si="2"/>
        <v>5</v>
      </c>
      <c r="AE8" s="67">
        <f t="shared" si="2"/>
        <v>6</v>
      </c>
      <c r="AF8" s="67">
        <f t="shared" si="2"/>
        <v>7</v>
      </c>
      <c r="AG8" s="71">
        <f t="shared" si="2"/>
        <v>0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 t="s">
        <v>103</v>
      </c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45444</v>
      </c>
      <c r="D78" s="160">
        <f t="shared" ref="D78:AG78" si="9">D7</f>
        <v>45445</v>
      </c>
      <c r="E78" s="160">
        <f t="shared" si="9"/>
        <v>45446</v>
      </c>
      <c r="F78" s="160">
        <f t="shared" si="9"/>
        <v>45447</v>
      </c>
      <c r="G78" s="160">
        <f t="shared" si="9"/>
        <v>45448</v>
      </c>
      <c r="H78" s="160">
        <f t="shared" si="9"/>
        <v>45449</v>
      </c>
      <c r="I78" s="160">
        <f t="shared" si="9"/>
        <v>45450</v>
      </c>
      <c r="J78" s="160">
        <f t="shared" si="9"/>
        <v>45451</v>
      </c>
      <c r="K78" s="160">
        <f t="shared" si="9"/>
        <v>45452</v>
      </c>
      <c r="L78" s="160">
        <f t="shared" si="9"/>
        <v>45453</v>
      </c>
      <c r="M78" s="160">
        <f t="shared" si="9"/>
        <v>45454</v>
      </c>
      <c r="N78" s="160">
        <f t="shared" si="9"/>
        <v>45455</v>
      </c>
      <c r="O78" s="160">
        <f t="shared" si="9"/>
        <v>45456</v>
      </c>
      <c r="P78" s="160">
        <f t="shared" si="9"/>
        <v>45457</v>
      </c>
      <c r="Q78" s="160">
        <f t="shared" si="9"/>
        <v>45458</v>
      </c>
      <c r="R78" s="160">
        <f t="shared" si="9"/>
        <v>45459</v>
      </c>
      <c r="S78" s="160">
        <f t="shared" si="9"/>
        <v>45460</v>
      </c>
      <c r="T78" s="160">
        <f t="shared" si="9"/>
        <v>45461</v>
      </c>
      <c r="U78" s="160">
        <f t="shared" si="9"/>
        <v>45462</v>
      </c>
      <c r="V78" s="160">
        <f t="shared" si="9"/>
        <v>45463</v>
      </c>
      <c r="W78" s="160">
        <f t="shared" si="9"/>
        <v>45464</v>
      </c>
      <c r="X78" s="160">
        <f t="shared" si="9"/>
        <v>45465</v>
      </c>
      <c r="Y78" s="160">
        <f t="shared" si="9"/>
        <v>45466</v>
      </c>
      <c r="Z78" s="160">
        <f t="shared" si="9"/>
        <v>45467</v>
      </c>
      <c r="AA78" s="160">
        <f t="shared" si="9"/>
        <v>45468</v>
      </c>
      <c r="AB78" s="160">
        <f t="shared" si="9"/>
        <v>45469</v>
      </c>
      <c r="AC78" s="160">
        <f t="shared" si="9"/>
        <v>45470</v>
      </c>
      <c r="AD78" s="160">
        <f t="shared" si="9"/>
        <v>45471</v>
      </c>
      <c r="AE78" s="160">
        <f t="shared" si="9"/>
        <v>45472</v>
      </c>
      <c r="AF78" s="160">
        <f t="shared" si="9"/>
        <v>45473</v>
      </c>
      <c r="AG78" s="160" t="str">
        <f t="shared" si="9"/>
        <v/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6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PJWZ98ii+FSfNB7E9EsfcjDHVp/ZJRj5JiogrnW0N3aCmxYBhfo6VyeCvCUTq1ClQiCbf3biK975PADMVwBZ3Q==" saltValue="nbXCw6Hfn/c3j3I80+4gjw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405" priority="30" stopIfTrue="1" operator="greaterThan">
      <formula>0</formula>
    </cfRule>
    <cfRule type="cellIs" dxfId="404" priority="42" stopIfTrue="1" operator="equal">
      <formula>0</formula>
    </cfRule>
  </conditionalFormatting>
  <conditionalFormatting sqref="C6:AG9">
    <cfRule type="expression" dxfId="403" priority="40">
      <formula>C$9="FT"</formula>
    </cfRule>
    <cfRule type="expression" dxfId="402" priority="41">
      <formula>C$8&gt;5</formula>
    </cfRule>
  </conditionalFormatting>
  <conditionalFormatting sqref="B50">
    <cfRule type="expression" dxfId="401" priority="38">
      <formula>B$50="WS"</formula>
    </cfRule>
    <cfRule type="expression" dxfId="400" priority="39">
      <formula>B$50="SZ"</formula>
    </cfRule>
  </conditionalFormatting>
  <conditionalFormatting sqref="C10:AG49">
    <cfRule type="expression" dxfId="399" priority="1" stopIfTrue="1">
      <formula>C10="FS"</formula>
    </cfRule>
    <cfRule type="expression" dxfId="398" priority="2">
      <formula>C10="K"</formula>
    </cfRule>
    <cfRule type="expression" dxfId="397" priority="3" stopIfTrue="1">
      <formula>C10="U"</formula>
    </cfRule>
    <cfRule type="expression" dxfId="396" priority="18">
      <formula>OR(C10="PT", C10="PN")</formula>
    </cfRule>
    <cfRule type="expression" dxfId="395" priority="19">
      <formula>C10="KT"</formula>
    </cfRule>
    <cfRule type="expression" dxfId="394" priority="20">
      <formula>OR(C10="KT", C10="T1", C10="HT", C10="T")</formula>
    </cfRule>
    <cfRule type="expression" dxfId="393" priority="32">
      <formula>C10="KN"</formula>
    </cfRule>
    <cfRule type="expression" dxfId="392" priority="33">
      <formula>OR(C10="KN", C10="N1", C10="HN", C10="N")</formula>
    </cfRule>
    <cfRule type="expression" dxfId="391" priority="34">
      <formula>C$9="FT"</formula>
    </cfRule>
    <cfRule type="expression" dxfId="390" priority="35">
      <formula>C$8&gt;5</formula>
    </cfRule>
    <cfRule type="expression" dxfId="389" priority="36">
      <formula>C10="S"</formula>
    </cfRule>
    <cfRule type="expression" dxfId="388" priority="37">
      <formula>C10="F"</formula>
    </cfRule>
  </conditionalFormatting>
  <conditionalFormatting sqref="C50:AG50">
    <cfRule type="expression" dxfId="387" priority="31" stopIfTrue="1">
      <formula>C$50="S"</formula>
    </cfRule>
  </conditionalFormatting>
  <conditionalFormatting sqref="AI10:AI49">
    <cfRule type="cellIs" dxfId="386" priority="28" stopIfTrue="1" operator="equal">
      <formula>0</formula>
    </cfRule>
    <cfRule type="cellIs" dxfId="385" priority="29" operator="greaterThan">
      <formula>0</formula>
    </cfRule>
  </conditionalFormatting>
  <conditionalFormatting sqref="AM10:AM49">
    <cfRule type="cellIs" dxfId="384" priority="26" stopIfTrue="1" operator="equal">
      <formula>0</formula>
    </cfRule>
    <cfRule type="cellIs" dxfId="383" priority="27" operator="greaterThan">
      <formula>0</formula>
    </cfRule>
  </conditionalFormatting>
  <conditionalFormatting sqref="AH10:AH49">
    <cfRule type="cellIs" dxfId="382" priority="25" operator="equal">
      <formula>0</formula>
    </cfRule>
  </conditionalFormatting>
  <conditionalFormatting sqref="AJ10:AK49">
    <cfRule type="cellIs" dxfId="381" priority="24" operator="equal">
      <formula>0</formula>
    </cfRule>
  </conditionalFormatting>
  <conditionalFormatting sqref="AL10:AL49">
    <cfRule type="cellIs" dxfId="380" priority="23" operator="equal">
      <formula>0</formula>
    </cfRule>
  </conditionalFormatting>
  <conditionalFormatting sqref="AN10:AP49">
    <cfRule type="cellIs" dxfId="379" priority="21" operator="equal">
      <formula>0</formula>
    </cfRule>
    <cfRule type="cellIs" dxfId="378" priority="22" stopIfTrue="1" operator="greaterThan">
      <formula>0</formula>
    </cfRule>
  </conditionalFormatting>
  <conditionalFormatting sqref="C84:AG84">
    <cfRule type="expression" dxfId="377" priority="9" stopIfTrue="1">
      <formula>IF($B$84="",1,0)</formula>
    </cfRule>
    <cfRule type="expression" dxfId="376" priority="43" stopIfTrue="1">
      <formula>IF(C$84&lt;&gt;$C$104,1,0)</formula>
    </cfRule>
    <cfRule type="expression" dxfId="375" priority="44" stopIfTrue="1">
      <formula>IF(C$84=$C$104,1,0)</formula>
    </cfRule>
  </conditionalFormatting>
  <conditionalFormatting sqref="C85:AG85">
    <cfRule type="expression" dxfId="374" priority="10" stopIfTrue="1">
      <formula>IF($B$85="",1,0)</formula>
    </cfRule>
    <cfRule type="expression" dxfId="373" priority="45">
      <formula>IF(C$85=$C$105,1,0)</formula>
    </cfRule>
    <cfRule type="expression" dxfId="372" priority="46">
      <formula>IF(C$85&lt;&gt;$C$105,1,0)</formula>
    </cfRule>
  </conditionalFormatting>
  <conditionalFormatting sqref="C86:AG86">
    <cfRule type="expression" dxfId="371" priority="11" stopIfTrue="1">
      <formula>IF($B$86="",1,0)</formula>
    </cfRule>
    <cfRule type="expression" dxfId="370" priority="47" stopIfTrue="1">
      <formula>IF(C$86&lt;&gt;$C$106,1,0)</formula>
    </cfRule>
    <cfRule type="expression" dxfId="369" priority="48" stopIfTrue="1">
      <formula>IF(C$86=$C$106,1,0)</formula>
    </cfRule>
  </conditionalFormatting>
  <conditionalFormatting sqref="C79:AG79">
    <cfRule type="expression" dxfId="368" priority="4">
      <formula>IF($B$79="",1,0)</formula>
    </cfRule>
    <cfRule type="expression" dxfId="367" priority="49">
      <formula>IF(C$79=$C$99,1,0)</formula>
    </cfRule>
    <cfRule type="expression" dxfId="366" priority="50">
      <formula>IF(C$79&lt;&gt;$C$99,1,0)</formula>
    </cfRule>
  </conditionalFormatting>
  <conditionalFormatting sqref="C81:AG81">
    <cfRule type="expression" dxfId="365" priority="6">
      <formula>IF($B$81="",1,0)</formula>
    </cfRule>
    <cfRule type="expression" dxfId="364" priority="51">
      <formula>IF(C$81=$C$101,1,0)</formula>
    </cfRule>
    <cfRule type="expression" dxfId="363" priority="52">
      <formula>IF(C$81&lt;&gt;$C$101,1,0)</formula>
    </cfRule>
  </conditionalFormatting>
  <conditionalFormatting sqref="C80:AG80">
    <cfRule type="expression" dxfId="362" priority="5">
      <formula>IF($B$80="",1,0)</formula>
    </cfRule>
    <cfRule type="expression" dxfId="361" priority="53">
      <formula>IF(C$80&lt;&gt;$C$100,1,0)</formula>
    </cfRule>
    <cfRule type="expression" dxfId="360" priority="54">
      <formula>IF(C$80=$C$100,1,0)</formula>
    </cfRule>
  </conditionalFormatting>
  <conditionalFormatting sqref="C82:AG82">
    <cfRule type="expression" dxfId="359" priority="7">
      <formula>IF($B$82="",1,0)</formula>
    </cfRule>
    <cfRule type="expression" dxfId="358" priority="55">
      <formula>IF(C$82&lt;&gt;$C$102,1,0)</formula>
    </cfRule>
    <cfRule type="expression" dxfId="357" priority="56">
      <formula>IF(C$82=$C$102,1,0)</formula>
    </cfRule>
  </conditionalFormatting>
  <conditionalFormatting sqref="C83:AG83">
    <cfRule type="expression" dxfId="356" priority="8" stopIfTrue="1">
      <formula>IF($B$83="",1,0)</formula>
    </cfRule>
    <cfRule type="expression" dxfId="355" priority="57" stopIfTrue="1">
      <formula>IF(C$83=$C$103,1,0)</formula>
    </cfRule>
    <cfRule type="expression" dxfId="354" priority="58" stopIfTrue="1">
      <formula>IF(C$83&lt;&gt;$C$103,1,0)</formula>
    </cfRule>
  </conditionalFormatting>
  <conditionalFormatting sqref="C88:AG88">
    <cfRule type="expression" dxfId="353" priority="13" stopIfTrue="1">
      <formula>IF($B$88="",1,0)</formula>
    </cfRule>
    <cfRule type="expression" dxfId="352" priority="16" stopIfTrue="1">
      <formula>IF(C$88&lt;&gt;$C$108,1,0)</formula>
    </cfRule>
    <cfRule type="expression" dxfId="351" priority="17" stopIfTrue="1">
      <formula>IF(C$88=$C$108,1,0)</formula>
    </cfRule>
  </conditionalFormatting>
  <conditionalFormatting sqref="C87:AG87">
    <cfRule type="expression" dxfId="350" priority="12" stopIfTrue="1">
      <formula>IF($B$87="",1,0)</formula>
    </cfRule>
    <cfRule type="expression" dxfId="349" priority="14" stopIfTrue="1">
      <formula>IF(C$87&lt;&gt;$C$107,1,0)</formula>
    </cfRule>
    <cfRule type="expression" dxfId="348" priority="15" stopIfTrue="1">
      <formula>IF(C$87=$C$107,1,0)</formula>
    </cfRule>
  </conditionalFormatting>
  <dataValidations count="1">
    <dataValidation type="list" allowBlank="1" showInputMessage="1" showErrorMessage="1" sqref="B10:B49" xr:uid="{57A99CA4-2C13-4B2B-AC0F-B5D7B456EBB5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7" orientation="landscape" r:id="rId1"/>
  <rowBreaks count="1" manualBreakCount="1">
    <brk id="78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A36F2-D377-412F-8399-235663A2FDB2}">
  <sheetPr codeName="Dienstplan25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Juli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1.7.2024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45474</v>
      </c>
      <c r="D6" s="100">
        <f t="shared" ref="D6:AG6" si="0">IF(MONTH(DATE(YEAR($L$3),MONTH($L$3),COLUMN()-COLUMN($B6)))&gt;MONTH($L$3),"",DATE(YEAR($L$3),MONTH($L$3),COLUMN()-COLUMN($B6)))</f>
        <v>45475</v>
      </c>
      <c r="E6" s="100">
        <f t="shared" si="0"/>
        <v>45476</v>
      </c>
      <c r="F6" s="100">
        <f t="shared" si="0"/>
        <v>45477</v>
      </c>
      <c r="G6" s="100">
        <f t="shared" si="0"/>
        <v>45478</v>
      </c>
      <c r="H6" s="100">
        <f t="shared" si="0"/>
        <v>45479</v>
      </c>
      <c r="I6" s="100">
        <f t="shared" si="0"/>
        <v>45480</v>
      </c>
      <c r="J6" s="100">
        <f t="shared" si="0"/>
        <v>45481</v>
      </c>
      <c r="K6" s="100">
        <f t="shared" si="0"/>
        <v>45482</v>
      </c>
      <c r="L6" s="100">
        <f t="shared" si="0"/>
        <v>45483</v>
      </c>
      <c r="M6" s="100">
        <f t="shared" si="0"/>
        <v>45484</v>
      </c>
      <c r="N6" s="100">
        <f t="shared" si="0"/>
        <v>45485</v>
      </c>
      <c r="O6" s="100">
        <f t="shared" si="0"/>
        <v>45486</v>
      </c>
      <c r="P6" s="100">
        <f t="shared" si="0"/>
        <v>45487</v>
      </c>
      <c r="Q6" s="100">
        <f t="shared" si="0"/>
        <v>45488</v>
      </c>
      <c r="R6" s="100">
        <f t="shared" si="0"/>
        <v>45489</v>
      </c>
      <c r="S6" s="100">
        <f t="shared" si="0"/>
        <v>45490</v>
      </c>
      <c r="T6" s="100">
        <f t="shared" si="0"/>
        <v>45491</v>
      </c>
      <c r="U6" s="100">
        <f t="shared" si="0"/>
        <v>45492</v>
      </c>
      <c r="V6" s="100">
        <f t="shared" si="0"/>
        <v>45493</v>
      </c>
      <c r="W6" s="100">
        <f t="shared" si="0"/>
        <v>45494</v>
      </c>
      <c r="X6" s="100">
        <f t="shared" si="0"/>
        <v>45495</v>
      </c>
      <c r="Y6" s="100">
        <f t="shared" si="0"/>
        <v>45496</v>
      </c>
      <c r="Z6" s="100">
        <f t="shared" si="0"/>
        <v>45497</v>
      </c>
      <c r="AA6" s="100">
        <f t="shared" si="0"/>
        <v>45498</v>
      </c>
      <c r="AB6" s="100">
        <f t="shared" si="0"/>
        <v>45499</v>
      </c>
      <c r="AC6" s="100">
        <f t="shared" si="0"/>
        <v>45500</v>
      </c>
      <c r="AD6" s="100">
        <f t="shared" si="0"/>
        <v>45501</v>
      </c>
      <c r="AE6" s="100">
        <f t="shared" si="0"/>
        <v>45502</v>
      </c>
      <c r="AF6" s="100">
        <f t="shared" si="0"/>
        <v>45503</v>
      </c>
      <c r="AG6" s="101">
        <f t="shared" si="0"/>
        <v>45504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45474</v>
      </c>
      <c r="D7" s="103">
        <f t="shared" ref="D7:AG7" si="1">IF(MONTH(DATE(YEAR($L$3),MONTH($L$3),COLUMN()-COLUMN($B6)))&gt;MONTH($L$3),"",DATE(YEAR($L$3),MONTH($L$3),COLUMN()-COLUMN($B6)))</f>
        <v>45475</v>
      </c>
      <c r="E7" s="103">
        <f t="shared" si="1"/>
        <v>45476</v>
      </c>
      <c r="F7" s="103">
        <f t="shared" si="1"/>
        <v>45477</v>
      </c>
      <c r="G7" s="103">
        <f t="shared" si="1"/>
        <v>45478</v>
      </c>
      <c r="H7" s="103">
        <f t="shared" si="1"/>
        <v>45479</v>
      </c>
      <c r="I7" s="103">
        <f t="shared" si="1"/>
        <v>45480</v>
      </c>
      <c r="J7" s="103">
        <f t="shared" si="1"/>
        <v>45481</v>
      </c>
      <c r="K7" s="103">
        <f t="shared" si="1"/>
        <v>45482</v>
      </c>
      <c r="L7" s="103">
        <f t="shared" si="1"/>
        <v>45483</v>
      </c>
      <c r="M7" s="103">
        <f t="shared" si="1"/>
        <v>45484</v>
      </c>
      <c r="N7" s="103">
        <f t="shared" si="1"/>
        <v>45485</v>
      </c>
      <c r="O7" s="103">
        <f t="shared" si="1"/>
        <v>45486</v>
      </c>
      <c r="P7" s="103">
        <f t="shared" si="1"/>
        <v>45487</v>
      </c>
      <c r="Q7" s="103">
        <f t="shared" si="1"/>
        <v>45488</v>
      </c>
      <c r="R7" s="103">
        <f t="shared" si="1"/>
        <v>45489</v>
      </c>
      <c r="S7" s="103">
        <f t="shared" si="1"/>
        <v>45490</v>
      </c>
      <c r="T7" s="103">
        <f t="shared" si="1"/>
        <v>45491</v>
      </c>
      <c r="U7" s="103">
        <f t="shared" si="1"/>
        <v>45492</v>
      </c>
      <c r="V7" s="103">
        <f t="shared" si="1"/>
        <v>45493</v>
      </c>
      <c r="W7" s="103">
        <f t="shared" si="1"/>
        <v>45494</v>
      </c>
      <c r="X7" s="103">
        <f t="shared" si="1"/>
        <v>45495</v>
      </c>
      <c r="Y7" s="103">
        <f t="shared" si="1"/>
        <v>45496</v>
      </c>
      <c r="Z7" s="103">
        <f t="shared" si="1"/>
        <v>45497</v>
      </c>
      <c r="AA7" s="103">
        <f t="shared" si="1"/>
        <v>45498</v>
      </c>
      <c r="AB7" s="103">
        <f t="shared" si="1"/>
        <v>45499</v>
      </c>
      <c r="AC7" s="103">
        <f t="shared" si="1"/>
        <v>45500</v>
      </c>
      <c r="AD7" s="103">
        <f t="shared" si="1"/>
        <v>45501</v>
      </c>
      <c r="AE7" s="103">
        <f t="shared" si="1"/>
        <v>45502</v>
      </c>
      <c r="AF7" s="103">
        <f t="shared" si="1"/>
        <v>45503</v>
      </c>
      <c r="AG7" s="104">
        <f t="shared" si="1"/>
        <v>45504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1</v>
      </c>
      <c r="D8" s="67">
        <f>IFERROR(WEEKDAY(D6,2), 0)</f>
        <v>2</v>
      </c>
      <c r="E8" s="67">
        <f t="shared" ref="E8:AG8" si="2">IFERROR(WEEKDAY(E6,2), 0)</f>
        <v>3</v>
      </c>
      <c r="F8" s="67">
        <f t="shared" si="2"/>
        <v>4</v>
      </c>
      <c r="G8" s="67">
        <f t="shared" si="2"/>
        <v>5</v>
      </c>
      <c r="H8" s="67">
        <f t="shared" si="2"/>
        <v>6</v>
      </c>
      <c r="I8" s="67">
        <f t="shared" si="2"/>
        <v>7</v>
      </c>
      <c r="J8" s="67">
        <f t="shared" si="2"/>
        <v>1</v>
      </c>
      <c r="K8" s="67">
        <f t="shared" si="2"/>
        <v>2</v>
      </c>
      <c r="L8" s="67">
        <f t="shared" si="2"/>
        <v>3</v>
      </c>
      <c r="M8" s="67">
        <f t="shared" si="2"/>
        <v>4</v>
      </c>
      <c r="N8" s="67">
        <f t="shared" si="2"/>
        <v>5</v>
      </c>
      <c r="O8" s="67">
        <f t="shared" si="2"/>
        <v>6</v>
      </c>
      <c r="P8" s="67">
        <f t="shared" si="2"/>
        <v>7</v>
      </c>
      <c r="Q8" s="67">
        <f t="shared" si="2"/>
        <v>1</v>
      </c>
      <c r="R8" s="67">
        <f t="shared" si="2"/>
        <v>2</v>
      </c>
      <c r="S8" s="67">
        <f t="shared" si="2"/>
        <v>3</v>
      </c>
      <c r="T8" s="67">
        <f t="shared" si="2"/>
        <v>4</v>
      </c>
      <c r="U8" s="67">
        <f t="shared" si="2"/>
        <v>5</v>
      </c>
      <c r="V8" s="67">
        <f t="shared" si="2"/>
        <v>6</v>
      </c>
      <c r="W8" s="67">
        <f t="shared" si="2"/>
        <v>7</v>
      </c>
      <c r="X8" s="67">
        <f t="shared" si="2"/>
        <v>1</v>
      </c>
      <c r="Y8" s="67">
        <f t="shared" si="2"/>
        <v>2</v>
      </c>
      <c r="Z8" s="67">
        <f t="shared" si="2"/>
        <v>3</v>
      </c>
      <c r="AA8" s="67">
        <f t="shared" si="2"/>
        <v>4</v>
      </c>
      <c r="AB8" s="67">
        <f t="shared" si="2"/>
        <v>5</v>
      </c>
      <c r="AC8" s="67">
        <f t="shared" si="2"/>
        <v>6</v>
      </c>
      <c r="AD8" s="67">
        <f t="shared" si="2"/>
        <v>7</v>
      </c>
      <c r="AE8" s="67">
        <f t="shared" si="2"/>
        <v>1</v>
      </c>
      <c r="AF8" s="67">
        <f t="shared" si="2"/>
        <v>2</v>
      </c>
      <c r="AG8" s="71">
        <f t="shared" si="2"/>
        <v>3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45474</v>
      </c>
      <c r="D78" s="160">
        <f t="shared" ref="D78:AG78" si="9">D7</f>
        <v>45475</v>
      </c>
      <c r="E78" s="160">
        <f t="shared" si="9"/>
        <v>45476</v>
      </c>
      <c r="F78" s="160">
        <f t="shared" si="9"/>
        <v>45477</v>
      </c>
      <c r="G78" s="160">
        <f t="shared" si="9"/>
        <v>45478</v>
      </c>
      <c r="H78" s="160">
        <f t="shared" si="9"/>
        <v>45479</v>
      </c>
      <c r="I78" s="160">
        <f t="shared" si="9"/>
        <v>45480</v>
      </c>
      <c r="J78" s="160">
        <f t="shared" si="9"/>
        <v>45481</v>
      </c>
      <c r="K78" s="160">
        <f t="shared" si="9"/>
        <v>45482</v>
      </c>
      <c r="L78" s="160">
        <f t="shared" si="9"/>
        <v>45483</v>
      </c>
      <c r="M78" s="160">
        <f t="shared" si="9"/>
        <v>45484</v>
      </c>
      <c r="N78" s="160">
        <f t="shared" si="9"/>
        <v>45485</v>
      </c>
      <c r="O78" s="160">
        <f t="shared" si="9"/>
        <v>45486</v>
      </c>
      <c r="P78" s="160">
        <f t="shared" si="9"/>
        <v>45487</v>
      </c>
      <c r="Q78" s="160">
        <f t="shared" si="9"/>
        <v>45488</v>
      </c>
      <c r="R78" s="160">
        <f t="shared" si="9"/>
        <v>45489</v>
      </c>
      <c r="S78" s="160">
        <f t="shared" si="9"/>
        <v>45490</v>
      </c>
      <c r="T78" s="160">
        <f t="shared" si="9"/>
        <v>45491</v>
      </c>
      <c r="U78" s="160">
        <f t="shared" si="9"/>
        <v>45492</v>
      </c>
      <c r="V78" s="160">
        <f t="shared" si="9"/>
        <v>45493</v>
      </c>
      <c r="W78" s="160">
        <f t="shared" si="9"/>
        <v>45494</v>
      </c>
      <c r="X78" s="160">
        <f t="shared" si="9"/>
        <v>45495</v>
      </c>
      <c r="Y78" s="160">
        <f t="shared" si="9"/>
        <v>45496</v>
      </c>
      <c r="Z78" s="160">
        <f t="shared" si="9"/>
        <v>45497</v>
      </c>
      <c r="AA78" s="160">
        <f t="shared" si="9"/>
        <v>45498</v>
      </c>
      <c r="AB78" s="160">
        <f t="shared" si="9"/>
        <v>45499</v>
      </c>
      <c r="AC78" s="160">
        <f t="shared" si="9"/>
        <v>45500</v>
      </c>
      <c r="AD78" s="160">
        <f t="shared" si="9"/>
        <v>45501</v>
      </c>
      <c r="AE78" s="160">
        <f t="shared" si="9"/>
        <v>45502</v>
      </c>
      <c r="AF78" s="160">
        <f t="shared" si="9"/>
        <v>45503</v>
      </c>
      <c r="AG78" s="160">
        <f t="shared" si="9"/>
        <v>45504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7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IsZW0KNNMDS5OdXEB1432BTYdA0nWR7lUcBkdNuFYtvHGqJzjtyydKtlQd+Neub91BJ2bA3/90SzJp3yLuesuA==" saltValue="B2YCsNjporXwFlhCJ0vz8w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347" priority="30" stopIfTrue="1" operator="greaterThan">
      <formula>0</formula>
    </cfRule>
    <cfRule type="cellIs" dxfId="346" priority="42" stopIfTrue="1" operator="equal">
      <formula>0</formula>
    </cfRule>
  </conditionalFormatting>
  <conditionalFormatting sqref="C6:AG9">
    <cfRule type="expression" dxfId="345" priority="40">
      <formula>C$9="FT"</formula>
    </cfRule>
    <cfRule type="expression" dxfId="344" priority="41">
      <formula>C$8&gt;5</formula>
    </cfRule>
  </conditionalFormatting>
  <conditionalFormatting sqref="B50">
    <cfRule type="expression" dxfId="343" priority="38">
      <formula>B$50="WS"</formula>
    </cfRule>
    <cfRule type="expression" dxfId="342" priority="39">
      <formula>B$50="SZ"</formula>
    </cfRule>
  </conditionalFormatting>
  <conditionalFormatting sqref="C10:AG49">
    <cfRule type="expression" dxfId="341" priority="1" stopIfTrue="1">
      <formula>C10="FS"</formula>
    </cfRule>
    <cfRule type="expression" dxfId="340" priority="2">
      <formula>C10="K"</formula>
    </cfRule>
    <cfRule type="expression" dxfId="339" priority="3" stopIfTrue="1">
      <formula>C10="U"</formula>
    </cfRule>
    <cfRule type="expression" dxfId="338" priority="18">
      <formula>OR(C10="PT", C10="PN")</formula>
    </cfRule>
    <cfRule type="expression" dxfId="337" priority="19">
      <formula>C10="KT"</formula>
    </cfRule>
    <cfRule type="expression" dxfId="336" priority="20">
      <formula>OR(C10="KT", C10="T1", C10="HT", C10="T")</formula>
    </cfRule>
    <cfRule type="expression" dxfId="335" priority="32">
      <formula>C10="KN"</formula>
    </cfRule>
    <cfRule type="expression" dxfId="334" priority="33">
      <formula>OR(C10="KN", C10="N1", C10="HN", C10="N")</formula>
    </cfRule>
    <cfRule type="expression" dxfId="333" priority="34">
      <formula>C$9="FT"</formula>
    </cfRule>
    <cfRule type="expression" dxfId="332" priority="35">
      <formula>C$8&gt;5</formula>
    </cfRule>
    <cfRule type="expression" dxfId="331" priority="36">
      <formula>C10="S"</formula>
    </cfRule>
    <cfRule type="expression" dxfId="330" priority="37">
      <formula>C10="F"</formula>
    </cfRule>
  </conditionalFormatting>
  <conditionalFormatting sqref="C50:AG50">
    <cfRule type="expression" dxfId="329" priority="31" stopIfTrue="1">
      <formula>C$50="S"</formula>
    </cfRule>
  </conditionalFormatting>
  <conditionalFormatting sqref="AI10:AI49">
    <cfRule type="cellIs" dxfId="328" priority="28" stopIfTrue="1" operator="equal">
      <formula>0</formula>
    </cfRule>
    <cfRule type="cellIs" dxfId="327" priority="29" operator="greaterThan">
      <formula>0</formula>
    </cfRule>
  </conditionalFormatting>
  <conditionalFormatting sqref="AM10:AM49">
    <cfRule type="cellIs" dxfId="326" priority="26" stopIfTrue="1" operator="equal">
      <formula>0</formula>
    </cfRule>
    <cfRule type="cellIs" dxfId="325" priority="27" operator="greaterThan">
      <formula>0</formula>
    </cfRule>
  </conditionalFormatting>
  <conditionalFormatting sqref="AH10:AH49">
    <cfRule type="cellIs" dxfId="324" priority="25" operator="equal">
      <formula>0</formula>
    </cfRule>
  </conditionalFormatting>
  <conditionalFormatting sqref="AJ10:AK49">
    <cfRule type="cellIs" dxfId="323" priority="24" operator="equal">
      <formula>0</formula>
    </cfRule>
  </conditionalFormatting>
  <conditionalFormatting sqref="AL10:AL49">
    <cfRule type="cellIs" dxfId="322" priority="23" operator="equal">
      <formula>0</formula>
    </cfRule>
  </conditionalFormatting>
  <conditionalFormatting sqref="AN10:AP49">
    <cfRule type="cellIs" dxfId="321" priority="21" operator="equal">
      <formula>0</formula>
    </cfRule>
    <cfRule type="cellIs" dxfId="320" priority="22" stopIfTrue="1" operator="greaterThan">
      <formula>0</formula>
    </cfRule>
  </conditionalFormatting>
  <conditionalFormatting sqref="C84:AG84">
    <cfRule type="expression" dxfId="319" priority="9" stopIfTrue="1">
      <formula>IF($B$84="",1,0)</formula>
    </cfRule>
    <cfRule type="expression" dxfId="318" priority="43" stopIfTrue="1">
      <formula>IF(C$84&lt;&gt;$C$104,1,0)</formula>
    </cfRule>
    <cfRule type="expression" dxfId="317" priority="44" stopIfTrue="1">
      <formula>IF(C$84=$C$104,1,0)</formula>
    </cfRule>
  </conditionalFormatting>
  <conditionalFormatting sqref="C85:AG85">
    <cfRule type="expression" dxfId="316" priority="10" stopIfTrue="1">
      <formula>IF($B$85="",1,0)</formula>
    </cfRule>
    <cfRule type="expression" dxfId="315" priority="45">
      <formula>IF(C$85=$C$105,1,0)</formula>
    </cfRule>
    <cfRule type="expression" dxfId="314" priority="46">
      <formula>IF(C$85&lt;&gt;$C$105,1,0)</formula>
    </cfRule>
  </conditionalFormatting>
  <conditionalFormatting sqref="C86:AG86">
    <cfRule type="expression" dxfId="313" priority="11" stopIfTrue="1">
      <formula>IF($B$86="",1,0)</formula>
    </cfRule>
    <cfRule type="expression" dxfId="312" priority="47" stopIfTrue="1">
      <formula>IF(C$86&lt;&gt;$C$106,1,0)</formula>
    </cfRule>
    <cfRule type="expression" dxfId="311" priority="48" stopIfTrue="1">
      <formula>IF(C$86=$C$106,1,0)</formula>
    </cfRule>
  </conditionalFormatting>
  <conditionalFormatting sqref="C79:AG79">
    <cfRule type="expression" dxfId="310" priority="4">
      <formula>IF($B$79="",1,0)</formula>
    </cfRule>
    <cfRule type="expression" dxfId="309" priority="49">
      <formula>IF(C$79=$C$99,1,0)</formula>
    </cfRule>
    <cfRule type="expression" dxfId="308" priority="50">
      <formula>IF(C$79&lt;&gt;$C$99,1,0)</formula>
    </cfRule>
  </conditionalFormatting>
  <conditionalFormatting sqref="C81:AG81">
    <cfRule type="expression" dxfId="307" priority="6">
      <formula>IF($B$81="",1,0)</formula>
    </cfRule>
    <cfRule type="expression" dxfId="306" priority="51">
      <formula>IF(C$81=$C$101,1,0)</formula>
    </cfRule>
    <cfRule type="expression" dxfId="305" priority="52">
      <formula>IF(C$81&lt;&gt;$C$101,1,0)</formula>
    </cfRule>
  </conditionalFormatting>
  <conditionalFormatting sqref="C80:AG80">
    <cfRule type="expression" dxfId="304" priority="5">
      <formula>IF($B$80="",1,0)</formula>
    </cfRule>
    <cfRule type="expression" dxfId="303" priority="53">
      <formula>IF(C$80&lt;&gt;$C$100,1,0)</formula>
    </cfRule>
    <cfRule type="expression" dxfId="302" priority="54">
      <formula>IF(C$80=$C$100,1,0)</formula>
    </cfRule>
  </conditionalFormatting>
  <conditionalFormatting sqref="C82:AG82">
    <cfRule type="expression" dxfId="301" priority="7">
      <formula>IF($B$82="",1,0)</formula>
    </cfRule>
    <cfRule type="expression" dxfId="300" priority="55">
      <formula>IF(C$82&lt;&gt;$C$102,1,0)</formula>
    </cfRule>
    <cfRule type="expression" dxfId="299" priority="56">
      <formula>IF(C$82=$C$102,1,0)</formula>
    </cfRule>
  </conditionalFormatting>
  <conditionalFormatting sqref="C83:AG83">
    <cfRule type="expression" dxfId="298" priority="8" stopIfTrue="1">
      <formula>IF($B$83="",1,0)</formula>
    </cfRule>
    <cfRule type="expression" dxfId="297" priority="57" stopIfTrue="1">
      <formula>IF(C$83=$C$103,1,0)</formula>
    </cfRule>
    <cfRule type="expression" dxfId="296" priority="58" stopIfTrue="1">
      <formula>IF(C$83&lt;&gt;$C$103,1,0)</formula>
    </cfRule>
  </conditionalFormatting>
  <conditionalFormatting sqref="C88:AG88">
    <cfRule type="expression" dxfId="295" priority="13" stopIfTrue="1">
      <formula>IF($B$88="",1,0)</formula>
    </cfRule>
    <cfRule type="expression" dxfId="294" priority="16" stopIfTrue="1">
      <formula>IF(C$88&lt;&gt;$C$108,1,0)</formula>
    </cfRule>
    <cfRule type="expression" dxfId="293" priority="17" stopIfTrue="1">
      <formula>IF(C$88=$C$108,1,0)</formula>
    </cfRule>
  </conditionalFormatting>
  <conditionalFormatting sqref="C87:AG87">
    <cfRule type="expression" dxfId="292" priority="12" stopIfTrue="1">
      <formula>IF($B$87="",1,0)</formula>
    </cfRule>
    <cfRule type="expression" dxfId="291" priority="14" stopIfTrue="1">
      <formula>IF(C$87&lt;&gt;$C$107,1,0)</formula>
    </cfRule>
    <cfRule type="expression" dxfId="290" priority="15" stopIfTrue="1">
      <formula>IF(C$87=$C$107,1,0)</formula>
    </cfRule>
  </conditionalFormatting>
  <dataValidations count="1">
    <dataValidation type="list" allowBlank="1" showInputMessage="1" showErrorMessage="1" sqref="B10:B49" xr:uid="{675A67A0-079A-4E39-84A3-C302D46428B7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E755D-CBCF-4EF9-A86C-067823CA8B17}">
  <sheetPr codeName="Dienstplan26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August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1.8.2024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45505</v>
      </c>
      <c r="D6" s="100">
        <f t="shared" ref="D6:AG6" si="0">IF(MONTH(DATE(YEAR($L$3),MONTH($L$3),COLUMN()-COLUMN($B6)))&gt;MONTH($L$3),"",DATE(YEAR($L$3),MONTH($L$3),COLUMN()-COLUMN($B6)))</f>
        <v>45506</v>
      </c>
      <c r="E6" s="100">
        <f t="shared" si="0"/>
        <v>45507</v>
      </c>
      <c r="F6" s="100">
        <f t="shared" si="0"/>
        <v>45508</v>
      </c>
      <c r="G6" s="100">
        <f t="shared" si="0"/>
        <v>45509</v>
      </c>
      <c r="H6" s="100">
        <f t="shared" si="0"/>
        <v>45510</v>
      </c>
      <c r="I6" s="100">
        <f t="shared" si="0"/>
        <v>45511</v>
      </c>
      <c r="J6" s="100">
        <f t="shared" si="0"/>
        <v>45512</v>
      </c>
      <c r="K6" s="100">
        <f t="shared" si="0"/>
        <v>45513</v>
      </c>
      <c r="L6" s="100">
        <f t="shared" si="0"/>
        <v>45514</v>
      </c>
      <c r="M6" s="100">
        <f t="shared" si="0"/>
        <v>45515</v>
      </c>
      <c r="N6" s="100">
        <f t="shared" si="0"/>
        <v>45516</v>
      </c>
      <c r="O6" s="100">
        <f t="shared" si="0"/>
        <v>45517</v>
      </c>
      <c r="P6" s="100">
        <f t="shared" si="0"/>
        <v>45518</v>
      </c>
      <c r="Q6" s="100">
        <f t="shared" si="0"/>
        <v>45519</v>
      </c>
      <c r="R6" s="100">
        <f t="shared" si="0"/>
        <v>45520</v>
      </c>
      <c r="S6" s="100">
        <f t="shared" si="0"/>
        <v>45521</v>
      </c>
      <c r="T6" s="100">
        <f t="shared" si="0"/>
        <v>45522</v>
      </c>
      <c r="U6" s="100">
        <f t="shared" si="0"/>
        <v>45523</v>
      </c>
      <c r="V6" s="100">
        <f t="shared" si="0"/>
        <v>45524</v>
      </c>
      <c r="W6" s="100">
        <f t="shared" si="0"/>
        <v>45525</v>
      </c>
      <c r="X6" s="100">
        <f t="shared" si="0"/>
        <v>45526</v>
      </c>
      <c r="Y6" s="100">
        <f t="shared" si="0"/>
        <v>45527</v>
      </c>
      <c r="Z6" s="100">
        <f t="shared" si="0"/>
        <v>45528</v>
      </c>
      <c r="AA6" s="100">
        <f t="shared" si="0"/>
        <v>45529</v>
      </c>
      <c r="AB6" s="100">
        <f t="shared" si="0"/>
        <v>45530</v>
      </c>
      <c r="AC6" s="100">
        <f t="shared" si="0"/>
        <v>45531</v>
      </c>
      <c r="AD6" s="100">
        <f t="shared" si="0"/>
        <v>45532</v>
      </c>
      <c r="AE6" s="100">
        <f t="shared" si="0"/>
        <v>45533</v>
      </c>
      <c r="AF6" s="100">
        <f t="shared" si="0"/>
        <v>45534</v>
      </c>
      <c r="AG6" s="101">
        <f t="shared" si="0"/>
        <v>45535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45505</v>
      </c>
      <c r="D7" s="103">
        <f t="shared" ref="D7:AG7" si="1">IF(MONTH(DATE(YEAR($L$3),MONTH($L$3),COLUMN()-COLUMN($B6)))&gt;MONTH($L$3),"",DATE(YEAR($L$3),MONTH($L$3),COLUMN()-COLUMN($B6)))</f>
        <v>45506</v>
      </c>
      <c r="E7" s="103">
        <f t="shared" si="1"/>
        <v>45507</v>
      </c>
      <c r="F7" s="103">
        <f t="shared" si="1"/>
        <v>45508</v>
      </c>
      <c r="G7" s="103">
        <f t="shared" si="1"/>
        <v>45509</v>
      </c>
      <c r="H7" s="103">
        <f t="shared" si="1"/>
        <v>45510</v>
      </c>
      <c r="I7" s="103">
        <f t="shared" si="1"/>
        <v>45511</v>
      </c>
      <c r="J7" s="103">
        <f t="shared" si="1"/>
        <v>45512</v>
      </c>
      <c r="K7" s="103">
        <f t="shared" si="1"/>
        <v>45513</v>
      </c>
      <c r="L7" s="103">
        <f t="shared" si="1"/>
        <v>45514</v>
      </c>
      <c r="M7" s="103">
        <f t="shared" si="1"/>
        <v>45515</v>
      </c>
      <c r="N7" s="103">
        <f t="shared" si="1"/>
        <v>45516</v>
      </c>
      <c r="O7" s="103">
        <f t="shared" si="1"/>
        <v>45517</v>
      </c>
      <c r="P7" s="103">
        <f t="shared" si="1"/>
        <v>45518</v>
      </c>
      <c r="Q7" s="103">
        <f t="shared" si="1"/>
        <v>45519</v>
      </c>
      <c r="R7" s="103">
        <f t="shared" si="1"/>
        <v>45520</v>
      </c>
      <c r="S7" s="103">
        <f t="shared" si="1"/>
        <v>45521</v>
      </c>
      <c r="T7" s="103">
        <f t="shared" si="1"/>
        <v>45522</v>
      </c>
      <c r="U7" s="103">
        <f t="shared" si="1"/>
        <v>45523</v>
      </c>
      <c r="V7" s="103">
        <f t="shared" si="1"/>
        <v>45524</v>
      </c>
      <c r="W7" s="103">
        <f t="shared" si="1"/>
        <v>45525</v>
      </c>
      <c r="X7" s="103">
        <f t="shared" si="1"/>
        <v>45526</v>
      </c>
      <c r="Y7" s="103">
        <f t="shared" si="1"/>
        <v>45527</v>
      </c>
      <c r="Z7" s="103">
        <f t="shared" si="1"/>
        <v>45528</v>
      </c>
      <c r="AA7" s="103">
        <f t="shared" si="1"/>
        <v>45529</v>
      </c>
      <c r="AB7" s="103">
        <f t="shared" si="1"/>
        <v>45530</v>
      </c>
      <c r="AC7" s="103">
        <f t="shared" si="1"/>
        <v>45531</v>
      </c>
      <c r="AD7" s="103">
        <f t="shared" si="1"/>
        <v>45532</v>
      </c>
      <c r="AE7" s="103">
        <f t="shared" si="1"/>
        <v>45533</v>
      </c>
      <c r="AF7" s="103">
        <f t="shared" si="1"/>
        <v>45534</v>
      </c>
      <c r="AG7" s="104">
        <f t="shared" si="1"/>
        <v>45535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4</v>
      </c>
      <c r="D8" s="67">
        <f>IFERROR(WEEKDAY(D6,2), 0)</f>
        <v>5</v>
      </c>
      <c r="E8" s="67">
        <f t="shared" ref="E8:AG8" si="2">IFERROR(WEEKDAY(E6,2), 0)</f>
        <v>6</v>
      </c>
      <c r="F8" s="67">
        <f t="shared" si="2"/>
        <v>7</v>
      </c>
      <c r="G8" s="67">
        <f t="shared" si="2"/>
        <v>1</v>
      </c>
      <c r="H8" s="67">
        <f t="shared" si="2"/>
        <v>2</v>
      </c>
      <c r="I8" s="67">
        <f t="shared" si="2"/>
        <v>3</v>
      </c>
      <c r="J8" s="67">
        <f t="shared" si="2"/>
        <v>4</v>
      </c>
      <c r="K8" s="67">
        <f t="shared" si="2"/>
        <v>5</v>
      </c>
      <c r="L8" s="67">
        <f t="shared" si="2"/>
        <v>6</v>
      </c>
      <c r="M8" s="67">
        <f t="shared" si="2"/>
        <v>7</v>
      </c>
      <c r="N8" s="67">
        <f t="shared" si="2"/>
        <v>1</v>
      </c>
      <c r="O8" s="67">
        <f t="shared" si="2"/>
        <v>2</v>
      </c>
      <c r="P8" s="67">
        <f t="shared" si="2"/>
        <v>3</v>
      </c>
      <c r="Q8" s="67">
        <f t="shared" si="2"/>
        <v>4</v>
      </c>
      <c r="R8" s="67">
        <f t="shared" si="2"/>
        <v>5</v>
      </c>
      <c r="S8" s="67">
        <f t="shared" si="2"/>
        <v>6</v>
      </c>
      <c r="T8" s="67">
        <f t="shared" si="2"/>
        <v>7</v>
      </c>
      <c r="U8" s="67">
        <f t="shared" si="2"/>
        <v>1</v>
      </c>
      <c r="V8" s="67">
        <f t="shared" si="2"/>
        <v>2</v>
      </c>
      <c r="W8" s="67">
        <f t="shared" si="2"/>
        <v>3</v>
      </c>
      <c r="X8" s="67">
        <f t="shared" si="2"/>
        <v>4</v>
      </c>
      <c r="Y8" s="67">
        <f t="shared" si="2"/>
        <v>5</v>
      </c>
      <c r="Z8" s="67">
        <f t="shared" si="2"/>
        <v>6</v>
      </c>
      <c r="AA8" s="67">
        <f t="shared" si="2"/>
        <v>7</v>
      </c>
      <c r="AB8" s="67">
        <f t="shared" si="2"/>
        <v>1</v>
      </c>
      <c r="AC8" s="67">
        <f t="shared" si="2"/>
        <v>2</v>
      </c>
      <c r="AD8" s="67">
        <f t="shared" si="2"/>
        <v>3</v>
      </c>
      <c r="AE8" s="67">
        <f t="shared" si="2"/>
        <v>4</v>
      </c>
      <c r="AF8" s="67">
        <f t="shared" si="2"/>
        <v>5</v>
      </c>
      <c r="AG8" s="71">
        <f t="shared" si="2"/>
        <v>6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>FT</v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45505</v>
      </c>
      <c r="D78" s="160">
        <f t="shared" ref="D78:AG78" si="9">D7</f>
        <v>45506</v>
      </c>
      <c r="E78" s="160">
        <f t="shared" si="9"/>
        <v>45507</v>
      </c>
      <c r="F78" s="160">
        <f t="shared" si="9"/>
        <v>45508</v>
      </c>
      <c r="G78" s="160">
        <f t="shared" si="9"/>
        <v>45509</v>
      </c>
      <c r="H78" s="160">
        <f t="shared" si="9"/>
        <v>45510</v>
      </c>
      <c r="I78" s="160">
        <f t="shared" si="9"/>
        <v>45511</v>
      </c>
      <c r="J78" s="160">
        <f t="shared" si="9"/>
        <v>45512</v>
      </c>
      <c r="K78" s="160">
        <f t="shared" si="9"/>
        <v>45513</v>
      </c>
      <c r="L78" s="160">
        <f t="shared" si="9"/>
        <v>45514</v>
      </c>
      <c r="M78" s="160">
        <f t="shared" si="9"/>
        <v>45515</v>
      </c>
      <c r="N78" s="160">
        <f t="shared" si="9"/>
        <v>45516</v>
      </c>
      <c r="O78" s="160">
        <f t="shared" si="9"/>
        <v>45517</v>
      </c>
      <c r="P78" s="160">
        <f t="shared" si="9"/>
        <v>45518</v>
      </c>
      <c r="Q78" s="160">
        <f t="shared" si="9"/>
        <v>45519</v>
      </c>
      <c r="R78" s="160">
        <f t="shared" si="9"/>
        <v>45520</v>
      </c>
      <c r="S78" s="160">
        <f t="shared" si="9"/>
        <v>45521</v>
      </c>
      <c r="T78" s="160">
        <f t="shared" si="9"/>
        <v>45522</v>
      </c>
      <c r="U78" s="160">
        <f t="shared" si="9"/>
        <v>45523</v>
      </c>
      <c r="V78" s="160">
        <f t="shared" si="9"/>
        <v>45524</v>
      </c>
      <c r="W78" s="160">
        <f t="shared" si="9"/>
        <v>45525</v>
      </c>
      <c r="X78" s="160">
        <f t="shared" si="9"/>
        <v>45526</v>
      </c>
      <c r="Y78" s="160">
        <f t="shared" si="9"/>
        <v>45527</v>
      </c>
      <c r="Z78" s="160">
        <f t="shared" si="9"/>
        <v>45528</v>
      </c>
      <c r="AA78" s="160">
        <f t="shared" si="9"/>
        <v>45529</v>
      </c>
      <c r="AB78" s="160">
        <f t="shared" si="9"/>
        <v>45530</v>
      </c>
      <c r="AC78" s="160">
        <f t="shared" si="9"/>
        <v>45531</v>
      </c>
      <c r="AD78" s="160">
        <f t="shared" si="9"/>
        <v>45532</v>
      </c>
      <c r="AE78" s="160">
        <f t="shared" si="9"/>
        <v>45533</v>
      </c>
      <c r="AF78" s="160">
        <f t="shared" si="9"/>
        <v>45534</v>
      </c>
      <c r="AG78" s="160">
        <f t="shared" si="9"/>
        <v>45535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8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qpS/BXV/jMk0WIY5+OBGsLyxIPT0ddiuaw5yFoU4rp4R39wwzDYEm1zmOZlPtbPu3zghCKGamx+yEt+FxazTtw==" saltValue="nLVEAfIMuSwfrKGbfQV0Kg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289" priority="30" stopIfTrue="1" operator="greaterThan">
      <formula>0</formula>
    </cfRule>
    <cfRule type="cellIs" dxfId="288" priority="42" stopIfTrue="1" operator="equal">
      <formula>0</formula>
    </cfRule>
  </conditionalFormatting>
  <conditionalFormatting sqref="C6:AG9">
    <cfRule type="expression" dxfId="287" priority="40">
      <formula>C$9="FT"</formula>
    </cfRule>
    <cfRule type="expression" dxfId="286" priority="41">
      <formula>C$8&gt;5</formula>
    </cfRule>
  </conditionalFormatting>
  <conditionalFormatting sqref="B50">
    <cfRule type="expression" dxfId="285" priority="38">
      <formula>B$50="WS"</formula>
    </cfRule>
    <cfRule type="expression" dxfId="284" priority="39">
      <formula>B$50="SZ"</formula>
    </cfRule>
  </conditionalFormatting>
  <conditionalFormatting sqref="C10:AG49">
    <cfRule type="expression" dxfId="283" priority="1" stopIfTrue="1">
      <formula>C10="FS"</formula>
    </cfRule>
    <cfRule type="expression" dxfId="282" priority="2">
      <formula>C10="K"</formula>
    </cfRule>
    <cfRule type="expression" dxfId="281" priority="3" stopIfTrue="1">
      <formula>C10="U"</formula>
    </cfRule>
    <cfRule type="expression" dxfId="280" priority="18">
      <formula>OR(C10="PT", C10="PN")</formula>
    </cfRule>
    <cfRule type="expression" dxfId="279" priority="19">
      <formula>C10="KT"</formula>
    </cfRule>
    <cfRule type="expression" dxfId="278" priority="20">
      <formula>OR(C10="KT", C10="T1", C10="HT", C10="T")</formula>
    </cfRule>
    <cfRule type="expression" dxfId="277" priority="32">
      <formula>C10="KN"</formula>
    </cfRule>
    <cfRule type="expression" dxfId="276" priority="33">
      <formula>OR(C10="KN", C10="N1", C10="HN", C10="N")</formula>
    </cfRule>
    <cfRule type="expression" dxfId="275" priority="34">
      <formula>C$9="FT"</formula>
    </cfRule>
    <cfRule type="expression" dxfId="274" priority="35">
      <formula>C$8&gt;5</formula>
    </cfRule>
    <cfRule type="expression" dxfId="273" priority="36">
      <formula>C10="S"</formula>
    </cfRule>
    <cfRule type="expression" dxfId="272" priority="37">
      <formula>C10="F"</formula>
    </cfRule>
  </conditionalFormatting>
  <conditionalFormatting sqref="C50:AG50">
    <cfRule type="expression" dxfId="271" priority="31" stopIfTrue="1">
      <formula>C$50="S"</formula>
    </cfRule>
  </conditionalFormatting>
  <conditionalFormatting sqref="AI10:AI49">
    <cfRule type="cellIs" dxfId="270" priority="28" stopIfTrue="1" operator="equal">
      <formula>0</formula>
    </cfRule>
    <cfRule type="cellIs" dxfId="269" priority="29" operator="greaterThan">
      <formula>0</formula>
    </cfRule>
  </conditionalFormatting>
  <conditionalFormatting sqref="AM10:AM49">
    <cfRule type="cellIs" dxfId="268" priority="26" stopIfTrue="1" operator="equal">
      <formula>0</formula>
    </cfRule>
    <cfRule type="cellIs" dxfId="267" priority="27" operator="greaterThan">
      <formula>0</formula>
    </cfRule>
  </conditionalFormatting>
  <conditionalFormatting sqref="AH10:AH49">
    <cfRule type="cellIs" dxfId="266" priority="25" operator="equal">
      <formula>0</formula>
    </cfRule>
  </conditionalFormatting>
  <conditionalFormatting sqref="AJ10:AK49">
    <cfRule type="cellIs" dxfId="265" priority="24" operator="equal">
      <formula>0</formula>
    </cfRule>
  </conditionalFormatting>
  <conditionalFormatting sqref="AL10:AL49">
    <cfRule type="cellIs" dxfId="264" priority="23" operator="equal">
      <formula>0</formula>
    </cfRule>
  </conditionalFormatting>
  <conditionalFormatting sqref="AN10:AP49">
    <cfRule type="cellIs" dxfId="263" priority="21" operator="equal">
      <formula>0</formula>
    </cfRule>
    <cfRule type="cellIs" dxfId="262" priority="22" stopIfTrue="1" operator="greaterThan">
      <formula>0</formula>
    </cfRule>
  </conditionalFormatting>
  <conditionalFormatting sqref="C84:AG84">
    <cfRule type="expression" dxfId="261" priority="9" stopIfTrue="1">
      <formula>IF($B$84="",1,0)</formula>
    </cfRule>
    <cfRule type="expression" dxfId="260" priority="43" stopIfTrue="1">
      <formula>IF(C$84&lt;&gt;$C$104,1,0)</formula>
    </cfRule>
    <cfRule type="expression" dxfId="259" priority="44" stopIfTrue="1">
      <formula>IF(C$84=$C$104,1,0)</formula>
    </cfRule>
  </conditionalFormatting>
  <conditionalFormatting sqref="C85:AG85">
    <cfRule type="expression" dxfId="258" priority="10" stopIfTrue="1">
      <formula>IF($B$85="",1,0)</formula>
    </cfRule>
    <cfRule type="expression" dxfId="257" priority="45">
      <formula>IF(C$85=$C$105,1,0)</formula>
    </cfRule>
    <cfRule type="expression" dxfId="256" priority="46">
      <formula>IF(C$85&lt;&gt;$C$105,1,0)</formula>
    </cfRule>
  </conditionalFormatting>
  <conditionalFormatting sqref="C86:AG86">
    <cfRule type="expression" dxfId="255" priority="11" stopIfTrue="1">
      <formula>IF($B$86="",1,0)</formula>
    </cfRule>
    <cfRule type="expression" dxfId="254" priority="47" stopIfTrue="1">
      <formula>IF(C$86&lt;&gt;$C$106,1,0)</formula>
    </cfRule>
    <cfRule type="expression" dxfId="253" priority="48" stopIfTrue="1">
      <formula>IF(C$86=$C$106,1,0)</formula>
    </cfRule>
  </conditionalFormatting>
  <conditionalFormatting sqref="C79:AG79">
    <cfRule type="expression" dxfId="252" priority="4">
      <formula>IF($B$79="",1,0)</formula>
    </cfRule>
    <cfRule type="expression" dxfId="251" priority="49">
      <formula>IF(C$79=$C$99,1,0)</formula>
    </cfRule>
    <cfRule type="expression" dxfId="250" priority="50">
      <formula>IF(C$79&lt;&gt;$C$99,1,0)</formula>
    </cfRule>
  </conditionalFormatting>
  <conditionalFormatting sqref="C81:AG81">
    <cfRule type="expression" dxfId="249" priority="6">
      <formula>IF($B$81="",1,0)</formula>
    </cfRule>
    <cfRule type="expression" dxfId="248" priority="51">
      <formula>IF(C$81=$C$101,1,0)</formula>
    </cfRule>
    <cfRule type="expression" dxfId="247" priority="52">
      <formula>IF(C$81&lt;&gt;$C$101,1,0)</formula>
    </cfRule>
  </conditionalFormatting>
  <conditionalFormatting sqref="C80:AG80">
    <cfRule type="expression" dxfId="246" priority="5">
      <formula>IF($B$80="",1,0)</formula>
    </cfRule>
    <cfRule type="expression" dxfId="245" priority="53">
      <formula>IF(C$80&lt;&gt;$C$100,1,0)</formula>
    </cfRule>
    <cfRule type="expression" dxfId="244" priority="54">
      <formula>IF(C$80=$C$100,1,0)</formula>
    </cfRule>
  </conditionalFormatting>
  <conditionalFormatting sqref="C82:AG82">
    <cfRule type="expression" dxfId="243" priority="7">
      <formula>IF($B$82="",1,0)</formula>
    </cfRule>
    <cfRule type="expression" dxfId="242" priority="55">
      <formula>IF(C$82&lt;&gt;$C$102,1,0)</formula>
    </cfRule>
    <cfRule type="expression" dxfId="241" priority="56">
      <formula>IF(C$82=$C$102,1,0)</formula>
    </cfRule>
  </conditionalFormatting>
  <conditionalFormatting sqref="C83:AG83">
    <cfRule type="expression" dxfId="240" priority="8" stopIfTrue="1">
      <formula>IF($B$83="",1,0)</formula>
    </cfRule>
    <cfRule type="expression" dxfId="239" priority="57" stopIfTrue="1">
      <formula>IF(C$83=$C$103,1,0)</formula>
    </cfRule>
    <cfRule type="expression" dxfId="238" priority="58" stopIfTrue="1">
      <formula>IF(C$83&lt;&gt;$C$103,1,0)</formula>
    </cfRule>
  </conditionalFormatting>
  <conditionalFormatting sqref="C88:AG88">
    <cfRule type="expression" dxfId="237" priority="13" stopIfTrue="1">
      <formula>IF($B$88="",1,0)</formula>
    </cfRule>
    <cfRule type="expression" dxfId="236" priority="16" stopIfTrue="1">
      <formula>IF(C$88&lt;&gt;$C$108,1,0)</formula>
    </cfRule>
    <cfRule type="expression" dxfId="235" priority="17" stopIfTrue="1">
      <formula>IF(C$88=$C$108,1,0)</formula>
    </cfRule>
  </conditionalFormatting>
  <conditionalFormatting sqref="C87:AG87">
    <cfRule type="expression" dxfId="234" priority="12" stopIfTrue="1">
      <formula>IF($B$87="",1,0)</formula>
    </cfRule>
    <cfRule type="expression" dxfId="233" priority="14" stopIfTrue="1">
      <formula>IF(C$87&lt;&gt;$C$107,1,0)</formula>
    </cfRule>
    <cfRule type="expression" dxfId="232" priority="15" stopIfTrue="1">
      <formula>IF(C$87=$C$107,1,0)</formula>
    </cfRule>
  </conditionalFormatting>
  <dataValidations count="1">
    <dataValidation type="list" allowBlank="1" showInputMessage="1" showErrorMessage="1" sqref="B10:B49" xr:uid="{137D8735-847C-4A81-826B-C7766C525B02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30900-B9DB-44BA-8B90-B488D3241C26}">
  <sheetPr codeName="Dienstplan27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September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1.9.2024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45536</v>
      </c>
      <c r="D6" s="100">
        <f t="shared" ref="D6:AG6" si="0">IF(MONTH(DATE(YEAR($L$3),MONTH($L$3),COLUMN()-COLUMN($B6)))&gt;MONTH($L$3),"",DATE(YEAR($L$3),MONTH($L$3),COLUMN()-COLUMN($B6)))</f>
        <v>45537</v>
      </c>
      <c r="E6" s="100">
        <f t="shared" si="0"/>
        <v>45538</v>
      </c>
      <c r="F6" s="100">
        <f t="shared" si="0"/>
        <v>45539</v>
      </c>
      <c r="G6" s="100">
        <f t="shared" si="0"/>
        <v>45540</v>
      </c>
      <c r="H6" s="100">
        <f t="shared" si="0"/>
        <v>45541</v>
      </c>
      <c r="I6" s="100">
        <f t="shared" si="0"/>
        <v>45542</v>
      </c>
      <c r="J6" s="100">
        <f t="shared" si="0"/>
        <v>45543</v>
      </c>
      <c r="K6" s="100">
        <f t="shared" si="0"/>
        <v>45544</v>
      </c>
      <c r="L6" s="100">
        <f t="shared" si="0"/>
        <v>45545</v>
      </c>
      <c r="M6" s="100">
        <f t="shared" si="0"/>
        <v>45546</v>
      </c>
      <c r="N6" s="100">
        <f t="shared" si="0"/>
        <v>45547</v>
      </c>
      <c r="O6" s="100">
        <f t="shared" si="0"/>
        <v>45548</v>
      </c>
      <c r="P6" s="100">
        <f t="shared" si="0"/>
        <v>45549</v>
      </c>
      <c r="Q6" s="100">
        <f t="shared" si="0"/>
        <v>45550</v>
      </c>
      <c r="R6" s="100">
        <f t="shared" si="0"/>
        <v>45551</v>
      </c>
      <c r="S6" s="100">
        <f t="shared" si="0"/>
        <v>45552</v>
      </c>
      <c r="T6" s="100">
        <f t="shared" si="0"/>
        <v>45553</v>
      </c>
      <c r="U6" s="100">
        <f t="shared" si="0"/>
        <v>45554</v>
      </c>
      <c r="V6" s="100">
        <f t="shared" si="0"/>
        <v>45555</v>
      </c>
      <c r="W6" s="100">
        <f t="shared" si="0"/>
        <v>45556</v>
      </c>
      <c r="X6" s="100">
        <f t="shared" si="0"/>
        <v>45557</v>
      </c>
      <c r="Y6" s="100">
        <f t="shared" si="0"/>
        <v>45558</v>
      </c>
      <c r="Z6" s="100">
        <f t="shared" si="0"/>
        <v>45559</v>
      </c>
      <c r="AA6" s="100">
        <f t="shared" si="0"/>
        <v>45560</v>
      </c>
      <c r="AB6" s="100">
        <f t="shared" si="0"/>
        <v>45561</v>
      </c>
      <c r="AC6" s="100">
        <f t="shared" si="0"/>
        <v>45562</v>
      </c>
      <c r="AD6" s="100">
        <f t="shared" si="0"/>
        <v>45563</v>
      </c>
      <c r="AE6" s="100">
        <f t="shared" si="0"/>
        <v>45564</v>
      </c>
      <c r="AF6" s="100">
        <f t="shared" si="0"/>
        <v>45565</v>
      </c>
      <c r="AG6" s="101" t="str">
        <f t="shared" si="0"/>
        <v/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45536</v>
      </c>
      <c r="D7" s="103">
        <f t="shared" ref="D7:AG7" si="1">IF(MONTH(DATE(YEAR($L$3),MONTH($L$3),COLUMN()-COLUMN($B6)))&gt;MONTH($L$3),"",DATE(YEAR($L$3),MONTH($L$3),COLUMN()-COLUMN($B6)))</f>
        <v>45537</v>
      </c>
      <c r="E7" s="103">
        <f t="shared" si="1"/>
        <v>45538</v>
      </c>
      <c r="F7" s="103">
        <f t="shared" si="1"/>
        <v>45539</v>
      </c>
      <c r="G7" s="103">
        <f t="shared" si="1"/>
        <v>45540</v>
      </c>
      <c r="H7" s="103">
        <f t="shared" si="1"/>
        <v>45541</v>
      </c>
      <c r="I7" s="103">
        <f t="shared" si="1"/>
        <v>45542</v>
      </c>
      <c r="J7" s="103">
        <f t="shared" si="1"/>
        <v>45543</v>
      </c>
      <c r="K7" s="103">
        <f t="shared" si="1"/>
        <v>45544</v>
      </c>
      <c r="L7" s="103">
        <f t="shared" si="1"/>
        <v>45545</v>
      </c>
      <c r="M7" s="103">
        <f t="shared" si="1"/>
        <v>45546</v>
      </c>
      <c r="N7" s="103">
        <f t="shared" si="1"/>
        <v>45547</v>
      </c>
      <c r="O7" s="103">
        <f t="shared" si="1"/>
        <v>45548</v>
      </c>
      <c r="P7" s="103">
        <f t="shared" si="1"/>
        <v>45549</v>
      </c>
      <c r="Q7" s="103">
        <f t="shared" si="1"/>
        <v>45550</v>
      </c>
      <c r="R7" s="103">
        <f t="shared" si="1"/>
        <v>45551</v>
      </c>
      <c r="S7" s="103">
        <f t="shared" si="1"/>
        <v>45552</v>
      </c>
      <c r="T7" s="103">
        <f t="shared" si="1"/>
        <v>45553</v>
      </c>
      <c r="U7" s="103">
        <f t="shared" si="1"/>
        <v>45554</v>
      </c>
      <c r="V7" s="103">
        <f t="shared" si="1"/>
        <v>45555</v>
      </c>
      <c r="W7" s="103">
        <f t="shared" si="1"/>
        <v>45556</v>
      </c>
      <c r="X7" s="103">
        <f t="shared" si="1"/>
        <v>45557</v>
      </c>
      <c r="Y7" s="103">
        <f t="shared" si="1"/>
        <v>45558</v>
      </c>
      <c r="Z7" s="103">
        <f t="shared" si="1"/>
        <v>45559</v>
      </c>
      <c r="AA7" s="103">
        <f t="shared" si="1"/>
        <v>45560</v>
      </c>
      <c r="AB7" s="103">
        <f t="shared" si="1"/>
        <v>45561</v>
      </c>
      <c r="AC7" s="103">
        <f t="shared" si="1"/>
        <v>45562</v>
      </c>
      <c r="AD7" s="103">
        <f t="shared" si="1"/>
        <v>45563</v>
      </c>
      <c r="AE7" s="103">
        <f t="shared" si="1"/>
        <v>45564</v>
      </c>
      <c r="AF7" s="103">
        <f t="shared" si="1"/>
        <v>45565</v>
      </c>
      <c r="AG7" s="104" t="str">
        <f t="shared" si="1"/>
        <v/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7</v>
      </c>
      <c r="D8" s="67">
        <f>IFERROR(WEEKDAY(D6,2), 0)</f>
        <v>1</v>
      </c>
      <c r="E8" s="67">
        <f t="shared" ref="E8:AG8" si="2">IFERROR(WEEKDAY(E6,2), 0)</f>
        <v>2</v>
      </c>
      <c r="F8" s="67">
        <f t="shared" si="2"/>
        <v>3</v>
      </c>
      <c r="G8" s="67">
        <f t="shared" si="2"/>
        <v>4</v>
      </c>
      <c r="H8" s="67">
        <f t="shared" si="2"/>
        <v>5</v>
      </c>
      <c r="I8" s="67">
        <f t="shared" si="2"/>
        <v>6</v>
      </c>
      <c r="J8" s="67">
        <f t="shared" si="2"/>
        <v>7</v>
      </c>
      <c r="K8" s="67">
        <f t="shared" si="2"/>
        <v>1</v>
      </c>
      <c r="L8" s="67">
        <f t="shared" si="2"/>
        <v>2</v>
      </c>
      <c r="M8" s="67">
        <f t="shared" si="2"/>
        <v>3</v>
      </c>
      <c r="N8" s="67">
        <f t="shared" si="2"/>
        <v>4</v>
      </c>
      <c r="O8" s="67">
        <f t="shared" si="2"/>
        <v>5</v>
      </c>
      <c r="P8" s="67">
        <f t="shared" si="2"/>
        <v>6</v>
      </c>
      <c r="Q8" s="67">
        <f t="shared" si="2"/>
        <v>7</v>
      </c>
      <c r="R8" s="67">
        <f t="shared" si="2"/>
        <v>1</v>
      </c>
      <c r="S8" s="67">
        <f t="shared" si="2"/>
        <v>2</v>
      </c>
      <c r="T8" s="67">
        <f t="shared" si="2"/>
        <v>3</v>
      </c>
      <c r="U8" s="67">
        <f t="shared" si="2"/>
        <v>4</v>
      </c>
      <c r="V8" s="67">
        <f t="shared" si="2"/>
        <v>5</v>
      </c>
      <c r="W8" s="67">
        <f t="shared" si="2"/>
        <v>6</v>
      </c>
      <c r="X8" s="67">
        <f t="shared" si="2"/>
        <v>7</v>
      </c>
      <c r="Y8" s="67">
        <f t="shared" si="2"/>
        <v>1</v>
      </c>
      <c r="Z8" s="67">
        <f t="shared" si="2"/>
        <v>2</v>
      </c>
      <c r="AA8" s="67">
        <f t="shared" si="2"/>
        <v>3</v>
      </c>
      <c r="AB8" s="67">
        <f t="shared" si="2"/>
        <v>4</v>
      </c>
      <c r="AC8" s="67">
        <f t="shared" si="2"/>
        <v>5</v>
      </c>
      <c r="AD8" s="67">
        <f t="shared" si="2"/>
        <v>6</v>
      </c>
      <c r="AE8" s="67">
        <f t="shared" si="2"/>
        <v>7</v>
      </c>
      <c r="AF8" s="67">
        <f t="shared" si="2"/>
        <v>1</v>
      </c>
      <c r="AG8" s="71">
        <f t="shared" si="2"/>
        <v>0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45536</v>
      </c>
      <c r="D78" s="160">
        <f t="shared" ref="D78:AG78" si="9">D7</f>
        <v>45537</v>
      </c>
      <c r="E78" s="160">
        <f t="shared" si="9"/>
        <v>45538</v>
      </c>
      <c r="F78" s="160">
        <f t="shared" si="9"/>
        <v>45539</v>
      </c>
      <c r="G78" s="160">
        <f t="shared" si="9"/>
        <v>45540</v>
      </c>
      <c r="H78" s="160">
        <f t="shared" si="9"/>
        <v>45541</v>
      </c>
      <c r="I78" s="160">
        <f t="shared" si="9"/>
        <v>45542</v>
      </c>
      <c r="J78" s="160">
        <f t="shared" si="9"/>
        <v>45543</v>
      </c>
      <c r="K78" s="160">
        <f t="shared" si="9"/>
        <v>45544</v>
      </c>
      <c r="L78" s="160">
        <f t="shared" si="9"/>
        <v>45545</v>
      </c>
      <c r="M78" s="160">
        <f t="shared" si="9"/>
        <v>45546</v>
      </c>
      <c r="N78" s="160">
        <f t="shared" si="9"/>
        <v>45547</v>
      </c>
      <c r="O78" s="160">
        <f t="shared" si="9"/>
        <v>45548</v>
      </c>
      <c r="P78" s="160">
        <f t="shared" si="9"/>
        <v>45549</v>
      </c>
      <c r="Q78" s="160">
        <f t="shared" si="9"/>
        <v>45550</v>
      </c>
      <c r="R78" s="160">
        <f t="shared" si="9"/>
        <v>45551</v>
      </c>
      <c r="S78" s="160">
        <f t="shared" si="9"/>
        <v>45552</v>
      </c>
      <c r="T78" s="160">
        <f t="shared" si="9"/>
        <v>45553</v>
      </c>
      <c r="U78" s="160">
        <f t="shared" si="9"/>
        <v>45554</v>
      </c>
      <c r="V78" s="160">
        <f t="shared" si="9"/>
        <v>45555</v>
      </c>
      <c r="W78" s="160">
        <f t="shared" si="9"/>
        <v>45556</v>
      </c>
      <c r="X78" s="160">
        <f t="shared" si="9"/>
        <v>45557</v>
      </c>
      <c r="Y78" s="160">
        <f t="shared" si="9"/>
        <v>45558</v>
      </c>
      <c r="Z78" s="160">
        <f t="shared" si="9"/>
        <v>45559</v>
      </c>
      <c r="AA78" s="160">
        <f t="shared" si="9"/>
        <v>45560</v>
      </c>
      <c r="AB78" s="160">
        <f t="shared" si="9"/>
        <v>45561</v>
      </c>
      <c r="AC78" s="160">
        <f t="shared" si="9"/>
        <v>45562</v>
      </c>
      <c r="AD78" s="160">
        <f t="shared" si="9"/>
        <v>45563</v>
      </c>
      <c r="AE78" s="160">
        <f t="shared" si="9"/>
        <v>45564</v>
      </c>
      <c r="AF78" s="160">
        <f t="shared" si="9"/>
        <v>45565</v>
      </c>
      <c r="AG78" s="160" t="str">
        <f t="shared" si="9"/>
        <v/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9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LSwZThCG5KWTl9Wv/dj8M1EqiQvcmbrEZBkCSOYagbMZAUUBzaioPYHpKlHsbRSVUkLkHP5+pcXs1nZsNht9sA==" saltValue="5RsQ8zlMQjwzqJN6oWg0nA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231" priority="30" stopIfTrue="1" operator="greaterThan">
      <formula>0</formula>
    </cfRule>
    <cfRule type="cellIs" dxfId="230" priority="42" stopIfTrue="1" operator="equal">
      <formula>0</formula>
    </cfRule>
  </conditionalFormatting>
  <conditionalFormatting sqref="C6:AG9">
    <cfRule type="expression" dxfId="229" priority="40">
      <formula>C$9="FT"</formula>
    </cfRule>
    <cfRule type="expression" dxfId="228" priority="41">
      <formula>C$8&gt;5</formula>
    </cfRule>
  </conditionalFormatting>
  <conditionalFormatting sqref="B50">
    <cfRule type="expression" dxfId="227" priority="38">
      <formula>B$50="WS"</formula>
    </cfRule>
    <cfRule type="expression" dxfId="226" priority="39">
      <formula>B$50="SZ"</formula>
    </cfRule>
  </conditionalFormatting>
  <conditionalFormatting sqref="C10:AG49">
    <cfRule type="expression" dxfId="225" priority="1" stopIfTrue="1">
      <formula>C10="FS"</formula>
    </cfRule>
    <cfRule type="expression" dxfId="224" priority="2">
      <formula>C10="K"</formula>
    </cfRule>
    <cfRule type="expression" dxfId="223" priority="3" stopIfTrue="1">
      <formula>C10="U"</formula>
    </cfRule>
    <cfRule type="expression" dxfId="222" priority="18">
      <formula>OR(C10="PT", C10="PN")</formula>
    </cfRule>
    <cfRule type="expression" dxfId="221" priority="19">
      <formula>C10="KT"</formula>
    </cfRule>
    <cfRule type="expression" dxfId="220" priority="20">
      <formula>OR(C10="KT", C10="T1", C10="HT", C10="T")</formula>
    </cfRule>
    <cfRule type="expression" dxfId="219" priority="32">
      <formula>C10="KN"</formula>
    </cfRule>
    <cfRule type="expression" dxfId="218" priority="33">
      <formula>OR(C10="KN", C10="N1", C10="HN", C10="N")</formula>
    </cfRule>
    <cfRule type="expression" dxfId="217" priority="34">
      <formula>C$9="FT"</formula>
    </cfRule>
    <cfRule type="expression" dxfId="216" priority="35">
      <formula>C$8&gt;5</formula>
    </cfRule>
    <cfRule type="expression" dxfId="215" priority="36">
      <formula>C10="S"</formula>
    </cfRule>
    <cfRule type="expression" dxfId="214" priority="37">
      <formula>C10="F"</formula>
    </cfRule>
  </conditionalFormatting>
  <conditionalFormatting sqref="C50:AG50">
    <cfRule type="expression" dxfId="213" priority="31" stopIfTrue="1">
      <formula>C$50="S"</formula>
    </cfRule>
  </conditionalFormatting>
  <conditionalFormatting sqref="AI10:AI49">
    <cfRule type="cellIs" dxfId="212" priority="28" stopIfTrue="1" operator="equal">
      <formula>0</formula>
    </cfRule>
    <cfRule type="cellIs" dxfId="211" priority="29" operator="greaterThan">
      <formula>0</formula>
    </cfRule>
  </conditionalFormatting>
  <conditionalFormatting sqref="AM10:AM49">
    <cfRule type="cellIs" dxfId="210" priority="26" stopIfTrue="1" operator="equal">
      <formula>0</formula>
    </cfRule>
    <cfRule type="cellIs" dxfId="209" priority="27" operator="greaterThan">
      <formula>0</formula>
    </cfRule>
  </conditionalFormatting>
  <conditionalFormatting sqref="AH10:AH49">
    <cfRule type="cellIs" dxfId="208" priority="25" operator="equal">
      <formula>0</formula>
    </cfRule>
  </conditionalFormatting>
  <conditionalFormatting sqref="AJ10:AK49">
    <cfRule type="cellIs" dxfId="207" priority="24" operator="equal">
      <formula>0</formula>
    </cfRule>
  </conditionalFormatting>
  <conditionalFormatting sqref="AL10:AL49">
    <cfRule type="cellIs" dxfId="206" priority="23" operator="equal">
      <formula>0</formula>
    </cfRule>
  </conditionalFormatting>
  <conditionalFormatting sqref="AN10:AP49">
    <cfRule type="cellIs" dxfId="205" priority="21" operator="equal">
      <formula>0</formula>
    </cfRule>
    <cfRule type="cellIs" dxfId="204" priority="22" stopIfTrue="1" operator="greaterThan">
      <formula>0</formula>
    </cfRule>
  </conditionalFormatting>
  <conditionalFormatting sqref="C84:AG84">
    <cfRule type="expression" dxfId="203" priority="9" stopIfTrue="1">
      <formula>IF($B$84="",1,0)</formula>
    </cfRule>
    <cfRule type="expression" dxfId="202" priority="43" stopIfTrue="1">
      <formula>IF(C$84&lt;&gt;$C$104,1,0)</formula>
    </cfRule>
    <cfRule type="expression" dxfId="201" priority="44" stopIfTrue="1">
      <formula>IF(C$84=$C$104,1,0)</formula>
    </cfRule>
  </conditionalFormatting>
  <conditionalFormatting sqref="C85:AG85">
    <cfRule type="expression" dxfId="200" priority="10" stopIfTrue="1">
      <formula>IF($B$85="",1,0)</formula>
    </cfRule>
    <cfRule type="expression" dxfId="199" priority="45">
      <formula>IF(C$85=$C$105,1,0)</formula>
    </cfRule>
    <cfRule type="expression" dxfId="198" priority="46">
      <formula>IF(C$85&lt;&gt;$C$105,1,0)</formula>
    </cfRule>
  </conditionalFormatting>
  <conditionalFormatting sqref="C86:AG86">
    <cfRule type="expression" dxfId="197" priority="11" stopIfTrue="1">
      <formula>IF($B$86="",1,0)</formula>
    </cfRule>
    <cfRule type="expression" dxfId="196" priority="47" stopIfTrue="1">
      <formula>IF(C$86&lt;&gt;$C$106,1,0)</formula>
    </cfRule>
    <cfRule type="expression" dxfId="195" priority="48" stopIfTrue="1">
      <formula>IF(C$86=$C$106,1,0)</formula>
    </cfRule>
  </conditionalFormatting>
  <conditionalFormatting sqref="C79:AG79">
    <cfRule type="expression" dxfId="194" priority="4">
      <formula>IF($B$79="",1,0)</formula>
    </cfRule>
    <cfRule type="expression" dxfId="193" priority="49">
      <formula>IF(C$79=$C$99,1,0)</formula>
    </cfRule>
    <cfRule type="expression" dxfId="192" priority="50">
      <formula>IF(C$79&lt;&gt;$C$99,1,0)</formula>
    </cfRule>
  </conditionalFormatting>
  <conditionalFormatting sqref="C81:AG81">
    <cfRule type="expression" dxfId="191" priority="6">
      <formula>IF($B$81="",1,0)</formula>
    </cfRule>
    <cfRule type="expression" dxfId="190" priority="51">
      <formula>IF(C$81=$C$101,1,0)</formula>
    </cfRule>
    <cfRule type="expression" dxfId="189" priority="52">
      <formula>IF(C$81&lt;&gt;$C$101,1,0)</formula>
    </cfRule>
  </conditionalFormatting>
  <conditionalFormatting sqref="C80:AG80">
    <cfRule type="expression" dxfId="188" priority="5">
      <formula>IF($B$80="",1,0)</formula>
    </cfRule>
    <cfRule type="expression" dxfId="187" priority="53">
      <formula>IF(C$80&lt;&gt;$C$100,1,0)</formula>
    </cfRule>
    <cfRule type="expression" dxfId="186" priority="54">
      <formula>IF(C$80=$C$100,1,0)</formula>
    </cfRule>
  </conditionalFormatting>
  <conditionalFormatting sqref="C82:AG82">
    <cfRule type="expression" dxfId="185" priority="7">
      <formula>IF($B$82="",1,0)</formula>
    </cfRule>
    <cfRule type="expression" dxfId="184" priority="55">
      <formula>IF(C$82&lt;&gt;$C$102,1,0)</formula>
    </cfRule>
    <cfRule type="expression" dxfId="183" priority="56">
      <formula>IF(C$82=$C$102,1,0)</formula>
    </cfRule>
  </conditionalFormatting>
  <conditionalFormatting sqref="C83:AG83">
    <cfRule type="expression" dxfId="182" priority="8" stopIfTrue="1">
      <formula>IF($B$83="",1,0)</formula>
    </cfRule>
    <cfRule type="expression" dxfId="181" priority="57" stopIfTrue="1">
      <formula>IF(C$83=$C$103,1,0)</formula>
    </cfRule>
    <cfRule type="expression" dxfId="180" priority="58" stopIfTrue="1">
      <formula>IF(C$83&lt;&gt;$C$103,1,0)</formula>
    </cfRule>
  </conditionalFormatting>
  <conditionalFormatting sqref="C88:AG88">
    <cfRule type="expression" dxfId="179" priority="13" stopIfTrue="1">
      <formula>IF($B$88="",1,0)</formula>
    </cfRule>
    <cfRule type="expression" dxfId="178" priority="16" stopIfTrue="1">
      <formula>IF(C$88&lt;&gt;$C$108,1,0)</formula>
    </cfRule>
    <cfRule type="expression" dxfId="177" priority="17" stopIfTrue="1">
      <formula>IF(C$88=$C$108,1,0)</formula>
    </cfRule>
  </conditionalFormatting>
  <conditionalFormatting sqref="C87:AG87">
    <cfRule type="expression" dxfId="176" priority="12" stopIfTrue="1">
      <formula>IF($B$87="",1,0)</formula>
    </cfRule>
    <cfRule type="expression" dxfId="175" priority="14" stopIfTrue="1">
      <formula>IF(C$87&lt;&gt;$C$107,1,0)</formula>
    </cfRule>
    <cfRule type="expression" dxfId="174" priority="15" stopIfTrue="1">
      <formula>IF(C$87=$C$107,1,0)</formula>
    </cfRule>
  </conditionalFormatting>
  <dataValidations count="1">
    <dataValidation type="list" allowBlank="1" showInputMessage="1" showErrorMessage="1" sqref="B10:B49" xr:uid="{1D66FAAD-A9BB-47E9-B839-4D0327417A2E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B76D8-3D47-4125-8554-E945BD108874}">
  <sheetPr codeName="Dienstplan28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Oktober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1.10.2024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45566</v>
      </c>
      <c r="D6" s="100">
        <f t="shared" ref="D6:AG6" si="0">IF(MONTH(DATE(YEAR($L$3),MONTH($L$3),COLUMN()-COLUMN($B6)))&gt;MONTH($L$3),"",DATE(YEAR($L$3),MONTH($L$3),COLUMN()-COLUMN($B6)))</f>
        <v>45567</v>
      </c>
      <c r="E6" s="100">
        <f t="shared" si="0"/>
        <v>45568</v>
      </c>
      <c r="F6" s="100">
        <f t="shared" si="0"/>
        <v>45569</v>
      </c>
      <c r="G6" s="100">
        <f t="shared" si="0"/>
        <v>45570</v>
      </c>
      <c r="H6" s="100">
        <f t="shared" si="0"/>
        <v>45571</v>
      </c>
      <c r="I6" s="100">
        <f t="shared" si="0"/>
        <v>45572</v>
      </c>
      <c r="J6" s="100">
        <f t="shared" si="0"/>
        <v>45573</v>
      </c>
      <c r="K6" s="100">
        <f t="shared" si="0"/>
        <v>45574</v>
      </c>
      <c r="L6" s="100">
        <f t="shared" si="0"/>
        <v>45575</v>
      </c>
      <c r="M6" s="100">
        <f t="shared" si="0"/>
        <v>45576</v>
      </c>
      <c r="N6" s="100">
        <f t="shared" si="0"/>
        <v>45577</v>
      </c>
      <c r="O6" s="100">
        <f t="shared" si="0"/>
        <v>45578</v>
      </c>
      <c r="P6" s="100">
        <f t="shared" si="0"/>
        <v>45579</v>
      </c>
      <c r="Q6" s="100">
        <f t="shared" si="0"/>
        <v>45580</v>
      </c>
      <c r="R6" s="100">
        <f t="shared" si="0"/>
        <v>45581</v>
      </c>
      <c r="S6" s="100">
        <f t="shared" si="0"/>
        <v>45582</v>
      </c>
      <c r="T6" s="100">
        <f t="shared" si="0"/>
        <v>45583</v>
      </c>
      <c r="U6" s="100">
        <f t="shared" si="0"/>
        <v>45584</v>
      </c>
      <c r="V6" s="100">
        <f t="shared" si="0"/>
        <v>45585</v>
      </c>
      <c r="W6" s="100">
        <f t="shared" si="0"/>
        <v>45586</v>
      </c>
      <c r="X6" s="100">
        <f t="shared" si="0"/>
        <v>45587</v>
      </c>
      <c r="Y6" s="100">
        <f t="shared" si="0"/>
        <v>45588</v>
      </c>
      <c r="Z6" s="100">
        <f t="shared" si="0"/>
        <v>45589</v>
      </c>
      <c r="AA6" s="100">
        <f t="shared" si="0"/>
        <v>45590</v>
      </c>
      <c r="AB6" s="100">
        <f t="shared" si="0"/>
        <v>45591</v>
      </c>
      <c r="AC6" s="100">
        <f t="shared" si="0"/>
        <v>45592</v>
      </c>
      <c r="AD6" s="100">
        <f t="shared" si="0"/>
        <v>45593</v>
      </c>
      <c r="AE6" s="100">
        <f t="shared" si="0"/>
        <v>45594</v>
      </c>
      <c r="AF6" s="100">
        <f t="shared" si="0"/>
        <v>45595</v>
      </c>
      <c r="AG6" s="101">
        <f t="shared" si="0"/>
        <v>45596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45566</v>
      </c>
      <c r="D7" s="103">
        <f t="shared" ref="D7:AG7" si="1">IF(MONTH(DATE(YEAR($L$3),MONTH($L$3),COLUMN()-COLUMN($B6)))&gt;MONTH($L$3),"",DATE(YEAR($L$3),MONTH($L$3),COLUMN()-COLUMN($B6)))</f>
        <v>45567</v>
      </c>
      <c r="E7" s="103">
        <f t="shared" si="1"/>
        <v>45568</v>
      </c>
      <c r="F7" s="103">
        <f t="shared" si="1"/>
        <v>45569</v>
      </c>
      <c r="G7" s="103">
        <f t="shared" si="1"/>
        <v>45570</v>
      </c>
      <c r="H7" s="103">
        <f t="shared" si="1"/>
        <v>45571</v>
      </c>
      <c r="I7" s="103">
        <f t="shared" si="1"/>
        <v>45572</v>
      </c>
      <c r="J7" s="103">
        <f t="shared" si="1"/>
        <v>45573</v>
      </c>
      <c r="K7" s="103">
        <f t="shared" si="1"/>
        <v>45574</v>
      </c>
      <c r="L7" s="103">
        <f t="shared" si="1"/>
        <v>45575</v>
      </c>
      <c r="M7" s="103">
        <f t="shared" si="1"/>
        <v>45576</v>
      </c>
      <c r="N7" s="103">
        <f t="shared" si="1"/>
        <v>45577</v>
      </c>
      <c r="O7" s="103">
        <f t="shared" si="1"/>
        <v>45578</v>
      </c>
      <c r="P7" s="103">
        <f t="shared" si="1"/>
        <v>45579</v>
      </c>
      <c r="Q7" s="103">
        <f t="shared" si="1"/>
        <v>45580</v>
      </c>
      <c r="R7" s="103">
        <f t="shared" si="1"/>
        <v>45581</v>
      </c>
      <c r="S7" s="103">
        <f t="shared" si="1"/>
        <v>45582</v>
      </c>
      <c r="T7" s="103">
        <f t="shared" si="1"/>
        <v>45583</v>
      </c>
      <c r="U7" s="103">
        <f t="shared" si="1"/>
        <v>45584</v>
      </c>
      <c r="V7" s="103">
        <f t="shared" si="1"/>
        <v>45585</v>
      </c>
      <c r="W7" s="103">
        <f t="shared" si="1"/>
        <v>45586</v>
      </c>
      <c r="X7" s="103">
        <f t="shared" si="1"/>
        <v>45587</v>
      </c>
      <c r="Y7" s="103">
        <f t="shared" si="1"/>
        <v>45588</v>
      </c>
      <c r="Z7" s="103">
        <f t="shared" si="1"/>
        <v>45589</v>
      </c>
      <c r="AA7" s="103">
        <f t="shared" si="1"/>
        <v>45590</v>
      </c>
      <c r="AB7" s="103">
        <f t="shared" si="1"/>
        <v>45591</v>
      </c>
      <c r="AC7" s="103">
        <f t="shared" si="1"/>
        <v>45592</v>
      </c>
      <c r="AD7" s="103">
        <f t="shared" si="1"/>
        <v>45593</v>
      </c>
      <c r="AE7" s="103">
        <f t="shared" si="1"/>
        <v>45594</v>
      </c>
      <c r="AF7" s="103">
        <f t="shared" si="1"/>
        <v>45595</v>
      </c>
      <c r="AG7" s="104">
        <f t="shared" si="1"/>
        <v>45596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2</v>
      </c>
      <c r="D8" s="67">
        <f>IFERROR(WEEKDAY(D6,2), 0)</f>
        <v>3</v>
      </c>
      <c r="E8" s="67">
        <f t="shared" ref="E8:AG8" si="2">IFERROR(WEEKDAY(E6,2), 0)</f>
        <v>4</v>
      </c>
      <c r="F8" s="67">
        <f t="shared" si="2"/>
        <v>5</v>
      </c>
      <c r="G8" s="67">
        <f t="shared" si="2"/>
        <v>6</v>
      </c>
      <c r="H8" s="67">
        <f t="shared" si="2"/>
        <v>7</v>
      </c>
      <c r="I8" s="67">
        <f t="shared" si="2"/>
        <v>1</v>
      </c>
      <c r="J8" s="67">
        <f t="shared" si="2"/>
        <v>2</v>
      </c>
      <c r="K8" s="67">
        <f t="shared" si="2"/>
        <v>3</v>
      </c>
      <c r="L8" s="67">
        <f t="shared" si="2"/>
        <v>4</v>
      </c>
      <c r="M8" s="67">
        <f t="shared" si="2"/>
        <v>5</v>
      </c>
      <c r="N8" s="67">
        <f t="shared" si="2"/>
        <v>6</v>
      </c>
      <c r="O8" s="67">
        <f t="shared" si="2"/>
        <v>7</v>
      </c>
      <c r="P8" s="67">
        <f t="shared" si="2"/>
        <v>1</v>
      </c>
      <c r="Q8" s="67">
        <f t="shared" si="2"/>
        <v>2</v>
      </c>
      <c r="R8" s="67">
        <f t="shared" si="2"/>
        <v>3</v>
      </c>
      <c r="S8" s="67">
        <f t="shared" si="2"/>
        <v>4</v>
      </c>
      <c r="T8" s="67">
        <f t="shared" si="2"/>
        <v>5</v>
      </c>
      <c r="U8" s="67">
        <f t="shared" si="2"/>
        <v>6</v>
      </c>
      <c r="V8" s="67">
        <f t="shared" si="2"/>
        <v>7</v>
      </c>
      <c r="W8" s="67">
        <f t="shared" si="2"/>
        <v>1</v>
      </c>
      <c r="X8" s="67">
        <f t="shared" si="2"/>
        <v>2</v>
      </c>
      <c r="Y8" s="67">
        <f t="shared" si="2"/>
        <v>3</v>
      </c>
      <c r="Z8" s="67">
        <f t="shared" si="2"/>
        <v>4</v>
      </c>
      <c r="AA8" s="67">
        <f t="shared" si="2"/>
        <v>5</v>
      </c>
      <c r="AB8" s="67">
        <f t="shared" si="2"/>
        <v>6</v>
      </c>
      <c r="AC8" s="67">
        <f t="shared" si="2"/>
        <v>7</v>
      </c>
      <c r="AD8" s="67">
        <f t="shared" si="2"/>
        <v>1</v>
      </c>
      <c r="AE8" s="67">
        <f t="shared" si="2"/>
        <v>2</v>
      </c>
      <c r="AF8" s="67">
        <f t="shared" si="2"/>
        <v>3</v>
      </c>
      <c r="AG8" s="71">
        <f t="shared" si="2"/>
        <v>4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>FT</v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45566</v>
      </c>
      <c r="D78" s="160">
        <f t="shared" ref="D78:AG78" si="9">D7</f>
        <v>45567</v>
      </c>
      <c r="E78" s="160">
        <f t="shared" si="9"/>
        <v>45568</v>
      </c>
      <c r="F78" s="160">
        <f t="shared" si="9"/>
        <v>45569</v>
      </c>
      <c r="G78" s="160">
        <f t="shared" si="9"/>
        <v>45570</v>
      </c>
      <c r="H78" s="160">
        <f t="shared" si="9"/>
        <v>45571</v>
      </c>
      <c r="I78" s="160">
        <f t="shared" si="9"/>
        <v>45572</v>
      </c>
      <c r="J78" s="160">
        <f t="shared" si="9"/>
        <v>45573</v>
      </c>
      <c r="K78" s="160">
        <f t="shared" si="9"/>
        <v>45574</v>
      </c>
      <c r="L78" s="160">
        <f t="shared" si="9"/>
        <v>45575</v>
      </c>
      <c r="M78" s="160">
        <f t="shared" si="9"/>
        <v>45576</v>
      </c>
      <c r="N78" s="160">
        <f t="shared" si="9"/>
        <v>45577</v>
      </c>
      <c r="O78" s="160">
        <f t="shared" si="9"/>
        <v>45578</v>
      </c>
      <c r="P78" s="160">
        <f t="shared" si="9"/>
        <v>45579</v>
      </c>
      <c r="Q78" s="160">
        <f t="shared" si="9"/>
        <v>45580</v>
      </c>
      <c r="R78" s="160">
        <f t="shared" si="9"/>
        <v>45581</v>
      </c>
      <c r="S78" s="160">
        <f t="shared" si="9"/>
        <v>45582</v>
      </c>
      <c r="T78" s="160">
        <f t="shared" si="9"/>
        <v>45583</v>
      </c>
      <c r="U78" s="160">
        <f t="shared" si="9"/>
        <v>45584</v>
      </c>
      <c r="V78" s="160">
        <f t="shared" si="9"/>
        <v>45585</v>
      </c>
      <c r="W78" s="160">
        <f t="shared" si="9"/>
        <v>45586</v>
      </c>
      <c r="X78" s="160">
        <f t="shared" si="9"/>
        <v>45587</v>
      </c>
      <c r="Y78" s="160">
        <f t="shared" si="9"/>
        <v>45588</v>
      </c>
      <c r="Z78" s="160">
        <f t="shared" si="9"/>
        <v>45589</v>
      </c>
      <c r="AA78" s="160">
        <f t="shared" si="9"/>
        <v>45590</v>
      </c>
      <c r="AB78" s="160">
        <f t="shared" si="9"/>
        <v>45591</v>
      </c>
      <c r="AC78" s="160">
        <f t="shared" si="9"/>
        <v>45592</v>
      </c>
      <c r="AD78" s="160">
        <f t="shared" si="9"/>
        <v>45593</v>
      </c>
      <c r="AE78" s="160">
        <f t="shared" si="9"/>
        <v>45594</v>
      </c>
      <c r="AF78" s="160">
        <f t="shared" si="9"/>
        <v>45595</v>
      </c>
      <c r="AG78" s="160">
        <f t="shared" si="9"/>
        <v>45596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10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LGYbtsnDrCA+8WPvgfnHeh0WwTYbm+b83juRc6vLtSLFXxd1sDKPthluaK0EfUhLbO30LObq0KqOt5drNilIEg==" saltValue="7PIhPJp48YqPst62BNcOug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173" priority="30" stopIfTrue="1" operator="greaterThan">
      <formula>0</formula>
    </cfRule>
    <cfRule type="cellIs" dxfId="172" priority="42" stopIfTrue="1" operator="equal">
      <formula>0</formula>
    </cfRule>
  </conditionalFormatting>
  <conditionalFormatting sqref="C6:AG9">
    <cfRule type="expression" dxfId="171" priority="40">
      <formula>C$9="FT"</formula>
    </cfRule>
    <cfRule type="expression" dxfId="170" priority="41">
      <formula>C$8&gt;5</formula>
    </cfRule>
  </conditionalFormatting>
  <conditionalFormatting sqref="B50">
    <cfRule type="expression" dxfId="169" priority="38">
      <formula>B$50="WS"</formula>
    </cfRule>
    <cfRule type="expression" dxfId="168" priority="39">
      <formula>B$50="SZ"</formula>
    </cfRule>
  </conditionalFormatting>
  <conditionalFormatting sqref="C10:AG49">
    <cfRule type="expression" dxfId="167" priority="1" stopIfTrue="1">
      <formula>C10="FS"</formula>
    </cfRule>
    <cfRule type="expression" dxfId="166" priority="2">
      <formula>C10="K"</formula>
    </cfRule>
    <cfRule type="expression" dxfId="165" priority="3" stopIfTrue="1">
      <formula>C10="U"</formula>
    </cfRule>
    <cfRule type="expression" dxfId="164" priority="18">
      <formula>OR(C10="PT", C10="PN")</formula>
    </cfRule>
    <cfRule type="expression" dxfId="163" priority="19">
      <formula>C10="KT"</formula>
    </cfRule>
    <cfRule type="expression" dxfId="162" priority="20">
      <formula>OR(C10="KT", C10="T1", C10="HT", C10="T")</formula>
    </cfRule>
    <cfRule type="expression" dxfId="161" priority="32">
      <formula>C10="KN"</formula>
    </cfRule>
    <cfRule type="expression" dxfId="160" priority="33">
      <formula>OR(C10="KN", C10="N1", C10="HN", C10="N")</formula>
    </cfRule>
    <cfRule type="expression" dxfId="159" priority="34">
      <formula>C$9="FT"</formula>
    </cfRule>
    <cfRule type="expression" dxfId="158" priority="35">
      <formula>C$8&gt;5</formula>
    </cfRule>
    <cfRule type="expression" dxfId="157" priority="36">
      <formula>C10="S"</formula>
    </cfRule>
    <cfRule type="expression" dxfId="156" priority="37">
      <formula>C10="F"</formula>
    </cfRule>
  </conditionalFormatting>
  <conditionalFormatting sqref="C50:AG50">
    <cfRule type="expression" dxfId="155" priority="31" stopIfTrue="1">
      <formula>C$50="S"</formula>
    </cfRule>
  </conditionalFormatting>
  <conditionalFormatting sqref="AI10:AI49">
    <cfRule type="cellIs" dxfId="154" priority="28" stopIfTrue="1" operator="equal">
      <formula>0</formula>
    </cfRule>
    <cfRule type="cellIs" dxfId="153" priority="29" operator="greaterThan">
      <formula>0</formula>
    </cfRule>
  </conditionalFormatting>
  <conditionalFormatting sqref="AM10:AM49">
    <cfRule type="cellIs" dxfId="152" priority="26" stopIfTrue="1" operator="equal">
      <formula>0</formula>
    </cfRule>
    <cfRule type="cellIs" dxfId="151" priority="27" operator="greaterThan">
      <formula>0</formula>
    </cfRule>
  </conditionalFormatting>
  <conditionalFormatting sqref="AH10:AH49">
    <cfRule type="cellIs" dxfId="150" priority="25" operator="equal">
      <formula>0</formula>
    </cfRule>
  </conditionalFormatting>
  <conditionalFormatting sqref="AJ10:AK49">
    <cfRule type="cellIs" dxfId="149" priority="24" operator="equal">
      <formula>0</formula>
    </cfRule>
  </conditionalFormatting>
  <conditionalFormatting sqref="AL10:AL49">
    <cfRule type="cellIs" dxfId="148" priority="23" operator="equal">
      <formula>0</formula>
    </cfRule>
  </conditionalFormatting>
  <conditionalFormatting sqref="AN10:AP49">
    <cfRule type="cellIs" dxfId="147" priority="21" operator="equal">
      <formula>0</formula>
    </cfRule>
    <cfRule type="cellIs" dxfId="146" priority="22" stopIfTrue="1" operator="greaterThan">
      <formula>0</formula>
    </cfRule>
  </conditionalFormatting>
  <conditionalFormatting sqref="C84:AG84">
    <cfRule type="expression" dxfId="145" priority="9" stopIfTrue="1">
      <formula>IF($B$84="",1,0)</formula>
    </cfRule>
    <cfRule type="expression" dxfId="144" priority="43" stopIfTrue="1">
      <formula>IF(C$84&lt;&gt;$C$104,1,0)</formula>
    </cfRule>
    <cfRule type="expression" dxfId="143" priority="44" stopIfTrue="1">
      <formula>IF(C$84=$C$104,1,0)</formula>
    </cfRule>
  </conditionalFormatting>
  <conditionalFormatting sqref="C85:AG85">
    <cfRule type="expression" dxfId="142" priority="10" stopIfTrue="1">
      <formula>IF($B$85="",1,0)</formula>
    </cfRule>
    <cfRule type="expression" dxfId="141" priority="45">
      <formula>IF(C$85=$C$105,1,0)</formula>
    </cfRule>
    <cfRule type="expression" dxfId="140" priority="46">
      <formula>IF(C$85&lt;&gt;$C$105,1,0)</formula>
    </cfRule>
  </conditionalFormatting>
  <conditionalFormatting sqref="C86:AG86">
    <cfRule type="expression" dxfId="139" priority="11" stopIfTrue="1">
      <formula>IF($B$86="",1,0)</formula>
    </cfRule>
    <cfRule type="expression" dxfId="138" priority="47" stopIfTrue="1">
      <formula>IF(C$86&lt;&gt;$C$106,1,0)</formula>
    </cfRule>
    <cfRule type="expression" dxfId="137" priority="48" stopIfTrue="1">
      <formula>IF(C$86=$C$106,1,0)</formula>
    </cfRule>
  </conditionalFormatting>
  <conditionalFormatting sqref="C79:AG79">
    <cfRule type="expression" dxfId="136" priority="4">
      <formula>IF($B$79="",1,0)</formula>
    </cfRule>
    <cfRule type="expression" dxfId="135" priority="49">
      <formula>IF(C$79=$C$99,1,0)</formula>
    </cfRule>
    <cfRule type="expression" dxfId="134" priority="50">
      <formula>IF(C$79&lt;&gt;$C$99,1,0)</formula>
    </cfRule>
  </conditionalFormatting>
  <conditionalFormatting sqref="C81:AG81">
    <cfRule type="expression" dxfId="133" priority="6">
      <formula>IF($B$81="",1,0)</formula>
    </cfRule>
    <cfRule type="expression" dxfId="132" priority="51">
      <formula>IF(C$81=$C$101,1,0)</formula>
    </cfRule>
    <cfRule type="expression" dxfId="131" priority="52">
      <formula>IF(C$81&lt;&gt;$C$101,1,0)</formula>
    </cfRule>
  </conditionalFormatting>
  <conditionalFormatting sqref="C80:AG80">
    <cfRule type="expression" dxfId="130" priority="5">
      <formula>IF($B$80="",1,0)</formula>
    </cfRule>
    <cfRule type="expression" dxfId="129" priority="53">
      <formula>IF(C$80&lt;&gt;$C$100,1,0)</formula>
    </cfRule>
    <cfRule type="expression" dxfId="128" priority="54">
      <formula>IF(C$80=$C$100,1,0)</formula>
    </cfRule>
  </conditionalFormatting>
  <conditionalFormatting sqref="C82:AG82">
    <cfRule type="expression" dxfId="127" priority="7">
      <formula>IF($B$82="",1,0)</formula>
    </cfRule>
    <cfRule type="expression" dxfId="126" priority="55">
      <formula>IF(C$82&lt;&gt;$C$102,1,0)</formula>
    </cfRule>
    <cfRule type="expression" dxfId="125" priority="56">
      <formula>IF(C$82=$C$102,1,0)</formula>
    </cfRule>
  </conditionalFormatting>
  <conditionalFormatting sqref="C83:AG83">
    <cfRule type="expression" dxfId="124" priority="8" stopIfTrue="1">
      <formula>IF($B$83="",1,0)</formula>
    </cfRule>
    <cfRule type="expression" dxfId="123" priority="57" stopIfTrue="1">
      <formula>IF(C$83=$C$103,1,0)</formula>
    </cfRule>
    <cfRule type="expression" dxfId="122" priority="58" stopIfTrue="1">
      <formula>IF(C$83&lt;&gt;$C$103,1,0)</formula>
    </cfRule>
  </conditionalFormatting>
  <conditionalFormatting sqref="C88:AG88">
    <cfRule type="expression" dxfId="121" priority="13" stopIfTrue="1">
      <formula>IF($B$88="",1,0)</formula>
    </cfRule>
    <cfRule type="expression" dxfId="120" priority="16" stopIfTrue="1">
      <formula>IF(C$88&lt;&gt;$C$108,1,0)</formula>
    </cfRule>
    <cfRule type="expression" dxfId="119" priority="17" stopIfTrue="1">
      <formula>IF(C$88=$C$108,1,0)</formula>
    </cfRule>
  </conditionalFormatting>
  <conditionalFormatting sqref="C87:AG87">
    <cfRule type="expression" dxfId="118" priority="12" stopIfTrue="1">
      <formula>IF($B$87="",1,0)</formula>
    </cfRule>
    <cfRule type="expression" dxfId="117" priority="14" stopIfTrue="1">
      <formula>IF(C$87&lt;&gt;$C$107,1,0)</formula>
    </cfRule>
    <cfRule type="expression" dxfId="116" priority="15" stopIfTrue="1">
      <formula>IF(C$87=$C$107,1,0)</formula>
    </cfRule>
  </conditionalFormatting>
  <dataValidations count="1">
    <dataValidation type="list" allowBlank="1" showInputMessage="1" showErrorMessage="1" sqref="B10:B49" xr:uid="{F9CD2B22-D682-4538-A8F1-F39C357AB8D8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A741-8B41-4492-8004-0FA4CCC35C78}">
  <sheetPr codeName="Dienstplan29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November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1.11.2024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45597</v>
      </c>
      <c r="D6" s="100">
        <f t="shared" ref="D6:AG6" si="0">IF(MONTH(DATE(YEAR($L$3),MONTH($L$3),COLUMN()-COLUMN($B6)))&gt;MONTH($L$3),"",DATE(YEAR($L$3),MONTH($L$3),COLUMN()-COLUMN($B6)))</f>
        <v>45598</v>
      </c>
      <c r="E6" s="100">
        <f t="shared" si="0"/>
        <v>45599</v>
      </c>
      <c r="F6" s="100">
        <f t="shared" si="0"/>
        <v>45600</v>
      </c>
      <c r="G6" s="100">
        <f t="shared" si="0"/>
        <v>45601</v>
      </c>
      <c r="H6" s="100">
        <f t="shared" si="0"/>
        <v>45602</v>
      </c>
      <c r="I6" s="100">
        <f t="shared" si="0"/>
        <v>45603</v>
      </c>
      <c r="J6" s="100">
        <f t="shared" si="0"/>
        <v>45604</v>
      </c>
      <c r="K6" s="100">
        <f t="shared" si="0"/>
        <v>45605</v>
      </c>
      <c r="L6" s="100">
        <f t="shared" si="0"/>
        <v>45606</v>
      </c>
      <c r="M6" s="100">
        <f t="shared" si="0"/>
        <v>45607</v>
      </c>
      <c r="N6" s="100">
        <f t="shared" si="0"/>
        <v>45608</v>
      </c>
      <c r="O6" s="100">
        <f t="shared" si="0"/>
        <v>45609</v>
      </c>
      <c r="P6" s="100">
        <f t="shared" si="0"/>
        <v>45610</v>
      </c>
      <c r="Q6" s="100">
        <f t="shared" si="0"/>
        <v>45611</v>
      </c>
      <c r="R6" s="100">
        <f t="shared" si="0"/>
        <v>45612</v>
      </c>
      <c r="S6" s="100">
        <f t="shared" si="0"/>
        <v>45613</v>
      </c>
      <c r="T6" s="100">
        <f t="shared" si="0"/>
        <v>45614</v>
      </c>
      <c r="U6" s="100">
        <f t="shared" si="0"/>
        <v>45615</v>
      </c>
      <c r="V6" s="100">
        <f t="shared" si="0"/>
        <v>45616</v>
      </c>
      <c r="W6" s="100">
        <f t="shared" si="0"/>
        <v>45617</v>
      </c>
      <c r="X6" s="100">
        <f t="shared" si="0"/>
        <v>45618</v>
      </c>
      <c r="Y6" s="100">
        <f t="shared" si="0"/>
        <v>45619</v>
      </c>
      <c r="Z6" s="100">
        <f t="shared" si="0"/>
        <v>45620</v>
      </c>
      <c r="AA6" s="100">
        <f t="shared" si="0"/>
        <v>45621</v>
      </c>
      <c r="AB6" s="100">
        <f t="shared" si="0"/>
        <v>45622</v>
      </c>
      <c r="AC6" s="100">
        <f t="shared" si="0"/>
        <v>45623</v>
      </c>
      <c r="AD6" s="100">
        <f t="shared" si="0"/>
        <v>45624</v>
      </c>
      <c r="AE6" s="100">
        <f t="shared" si="0"/>
        <v>45625</v>
      </c>
      <c r="AF6" s="100">
        <f t="shared" si="0"/>
        <v>45626</v>
      </c>
      <c r="AG6" s="101" t="str">
        <f t="shared" si="0"/>
        <v/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45597</v>
      </c>
      <c r="D7" s="103">
        <f t="shared" ref="D7:AG7" si="1">IF(MONTH(DATE(YEAR($L$3),MONTH($L$3),COLUMN()-COLUMN($B6)))&gt;MONTH($L$3),"",DATE(YEAR($L$3),MONTH($L$3),COLUMN()-COLUMN($B6)))</f>
        <v>45598</v>
      </c>
      <c r="E7" s="103">
        <f t="shared" si="1"/>
        <v>45599</v>
      </c>
      <c r="F7" s="103">
        <f t="shared" si="1"/>
        <v>45600</v>
      </c>
      <c r="G7" s="103">
        <f t="shared" si="1"/>
        <v>45601</v>
      </c>
      <c r="H7" s="103">
        <f t="shared" si="1"/>
        <v>45602</v>
      </c>
      <c r="I7" s="103">
        <f t="shared" si="1"/>
        <v>45603</v>
      </c>
      <c r="J7" s="103">
        <f t="shared" si="1"/>
        <v>45604</v>
      </c>
      <c r="K7" s="103">
        <f t="shared" si="1"/>
        <v>45605</v>
      </c>
      <c r="L7" s="103">
        <f t="shared" si="1"/>
        <v>45606</v>
      </c>
      <c r="M7" s="103">
        <f t="shared" si="1"/>
        <v>45607</v>
      </c>
      <c r="N7" s="103">
        <f t="shared" si="1"/>
        <v>45608</v>
      </c>
      <c r="O7" s="103">
        <f t="shared" si="1"/>
        <v>45609</v>
      </c>
      <c r="P7" s="103">
        <f t="shared" si="1"/>
        <v>45610</v>
      </c>
      <c r="Q7" s="103">
        <f t="shared" si="1"/>
        <v>45611</v>
      </c>
      <c r="R7" s="103">
        <f t="shared" si="1"/>
        <v>45612</v>
      </c>
      <c r="S7" s="103">
        <f t="shared" si="1"/>
        <v>45613</v>
      </c>
      <c r="T7" s="103">
        <f t="shared" si="1"/>
        <v>45614</v>
      </c>
      <c r="U7" s="103">
        <f t="shared" si="1"/>
        <v>45615</v>
      </c>
      <c r="V7" s="103">
        <f t="shared" si="1"/>
        <v>45616</v>
      </c>
      <c r="W7" s="103">
        <f t="shared" si="1"/>
        <v>45617</v>
      </c>
      <c r="X7" s="103">
        <f t="shared" si="1"/>
        <v>45618</v>
      </c>
      <c r="Y7" s="103">
        <f t="shared" si="1"/>
        <v>45619</v>
      </c>
      <c r="Z7" s="103">
        <f t="shared" si="1"/>
        <v>45620</v>
      </c>
      <c r="AA7" s="103">
        <f t="shared" si="1"/>
        <v>45621</v>
      </c>
      <c r="AB7" s="103">
        <f t="shared" si="1"/>
        <v>45622</v>
      </c>
      <c r="AC7" s="103">
        <f t="shared" si="1"/>
        <v>45623</v>
      </c>
      <c r="AD7" s="103">
        <f t="shared" si="1"/>
        <v>45624</v>
      </c>
      <c r="AE7" s="103">
        <f t="shared" si="1"/>
        <v>45625</v>
      </c>
      <c r="AF7" s="103">
        <f t="shared" si="1"/>
        <v>45626</v>
      </c>
      <c r="AG7" s="104" t="str">
        <f t="shared" si="1"/>
        <v/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5</v>
      </c>
      <c r="D8" s="67">
        <f>IFERROR(WEEKDAY(D6,2), 0)</f>
        <v>6</v>
      </c>
      <c r="E8" s="67">
        <f t="shared" ref="E8:AG8" si="2">IFERROR(WEEKDAY(E6,2), 0)</f>
        <v>7</v>
      </c>
      <c r="F8" s="67">
        <f t="shared" si="2"/>
        <v>1</v>
      </c>
      <c r="G8" s="67">
        <f t="shared" si="2"/>
        <v>2</v>
      </c>
      <c r="H8" s="67">
        <f t="shared" si="2"/>
        <v>3</v>
      </c>
      <c r="I8" s="67">
        <f t="shared" si="2"/>
        <v>4</v>
      </c>
      <c r="J8" s="67">
        <f t="shared" si="2"/>
        <v>5</v>
      </c>
      <c r="K8" s="67">
        <f t="shared" si="2"/>
        <v>6</v>
      </c>
      <c r="L8" s="67">
        <f t="shared" si="2"/>
        <v>7</v>
      </c>
      <c r="M8" s="67">
        <f t="shared" si="2"/>
        <v>1</v>
      </c>
      <c r="N8" s="67">
        <f t="shared" si="2"/>
        <v>2</v>
      </c>
      <c r="O8" s="67">
        <f t="shared" si="2"/>
        <v>3</v>
      </c>
      <c r="P8" s="67">
        <f t="shared" si="2"/>
        <v>4</v>
      </c>
      <c r="Q8" s="67">
        <f t="shared" si="2"/>
        <v>5</v>
      </c>
      <c r="R8" s="67">
        <f t="shared" si="2"/>
        <v>6</v>
      </c>
      <c r="S8" s="67">
        <f t="shared" si="2"/>
        <v>7</v>
      </c>
      <c r="T8" s="67">
        <f t="shared" si="2"/>
        <v>1</v>
      </c>
      <c r="U8" s="67">
        <f t="shared" si="2"/>
        <v>2</v>
      </c>
      <c r="V8" s="67">
        <f t="shared" si="2"/>
        <v>3</v>
      </c>
      <c r="W8" s="67">
        <f t="shared" si="2"/>
        <v>4</v>
      </c>
      <c r="X8" s="67">
        <f t="shared" si="2"/>
        <v>5</v>
      </c>
      <c r="Y8" s="67">
        <f t="shared" si="2"/>
        <v>6</v>
      </c>
      <c r="Z8" s="67">
        <f t="shared" si="2"/>
        <v>7</v>
      </c>
      <c r="AA8" s="67">
        <f t="shared" si="2"/>
        <v>1</v>
      </c>
      <c r="AB8" s="67">
        <f t="shared" si="2"/>
        <v>2</v>
      </c>
      <c r="AC8" s="67">
        <f t="shared" si="2"/>
        <v>3</v>
      </c>
      <c r="AD8" s="67">
        <f t="shared" si="2"/>
        <v>4</v>
      </c>
      <c r="AE8" s="67">
        <f t="shared" si="2"/>
        <v>5</v>
      </c>
      <c r="AF8" s="67">
        <f t="shared" si="2"/>
        <v>6</v>
      </c>
      <c r="AG8" s="71">
        <f t="shared" si="2"/>
        <v>0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>FT</v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/>
      </c>
      <c r="AB9" s="13" t="str">
        <f>IF(ISNA(VLOOKUP(AB$6,Einstellungen!$B$8:$B$22,1,0)),"","FT")</f>
        <v/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45597</v>
      </c>
      <c r="D78" s="160">
        <f t="shared" ref="D78:AG78" si="9">D7</f>
        <v>45598</v>
      </c>
      <c r="E78" s="160">
        <f t="shared" si="9"/>
        <v>45599</v>
      </c>
      <c r="F78" s="160">
        <f t="shared" si="9"/>
        <v>45600</v>
      </c>
      <c r="G78" s="160">
        <f t="shared" si="9"/>
        <v>45601</v>
      </c>
      <c r="H78" s="160">
        <f t="shared" si="9"/>
        <v>45602</v>
      </c>
      <c r="I78" s="160">
        <f t="shared" si="9"/>
        <v>45603</v>
      </c>
      <c r="J78" s="160">
        <f t="shared" si="9"/>
        <v>45604</v>
      </c>
      <c r="K78" s="160">
        <f t="shared" si="9"/>
        <v>45605</v>
      </c>
      <c r="L78" s="160">
        <f t="shared" si="9"/>
        <v>45606</v>
      </c>
      <c r="M78" s="160">
        <f t="shared" si="9"/>
        <v>45607</v>
      </c>
      <c r="N78" s="160">
        <f t="shared" si="9"/>
        <v>45608</v>
      </c>
      <c r="O78" s="160">
        <f t="shared" si="9"/>
        <v>45609</v>
      </c>
      <c r="P78" s="160">
        <f t="shared" si="9"/>
        <v>45610</v>
      </c>
      <c r="Q78" s="160">
        <f t="shared" si="9"/>
        <v>45611</v>
      </c>
      <c r="R78" s="160">
        <f t="shared" si="9"/>
        <v>45612</v>
      </c>
      <c r="S78" s="160">
        <f t="shared" si="9"/>
        <v>45613</v>
      </c>
      <c r="T78" s="160">
        <f t="shared" si="9"/>
        <v>45614</v>
      </c>
      <c r="U78" s="160">
        <f t="shared" si="9"/>
        <v>45615</v>
      </c>
      <c r="V78" s="160">
        <f t="shared" si="9"/>
        <v>45616</v>
      </c>
      <c r="W78" s="160">
        <f t="shared" si="9"/>
        <v>45617</v>
      </c>
      <c r="X78" s="160">
        <f t="shared" si="9"/>
        <v>45618</v>
      </c>
      <c r="Y78" s="160">
        <f t="shared" si="9"/>
        <v>45619</v>
      </c>
      <c r="Z78" s="160">
        <f t="shared" si="9"/>
        <v>45620</v>
      </c>
      <c r="AA78" s="160">
        <f t="shared" si="9"/>
        <v>45621</v>
      </c>
      <c r="AB78" s="160">
        <f t="shared" si="9"/>
        <v>45622</v>
      </c>
      <c r="AC78" s="160">
        <f t="shared" si="9"/>
        <v>45623</v>
      </c>
      <c r="AD78" s="160">
        <f t="shared" si="9"/>
        <v>45624</v>
      </c>
      <c r="AE78" s="160">
        <f t="shared" si="9"/>
        <v>45625</v>
      </c>
      <c r="AF78" s="160">
        <f t="shared" si="9"/>
        <v>45626</v>
      </c>
      <c r="AG78" s="160" t="str">
        <f t="shared" si="9"/>
        <v/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11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weazFObQSE53Qt0gSRVBW3guY88rmD84aEJdjjvSJWu3NSh12LoxeJmtxkmJXYZQpdUYjBHCBaLXzGoUWErGvA==" saltValue="uiUHdUgwMXBswtIhAxGbFQ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115" priority="30" stopIfTrue="1" operator="greaterThan">
      <formula>0</formula>
    </cfRule>
    <cfRule type="cellIs" dxfId="114" priority="42" stopIfTrue="1" operator="equal">
      <formula>0</formula>
    </cfRule>
  </conditionalFormatting>
  <conditionalFormatting sqref="C6:AG9">
    <cfRule type="expression" dxfId="113" priority="40">
      <formula>C$9="FT"</formula>
    </cfRule>
    <cfRule type="expression" dxfId="112" priority="41">
      <formula>C$8&gt;5</formula>
    </cfRule>
  </conditionalFormatting>
  <conditionalFormatting sqref="B50">
    <cfRule type="expression" dxfId="111" priority="38">
      <formula>B$50="WS"</formula>
    </cfRule>
    <cfRule type="expression" dxfId="110" priority="39">
      <formula>B$50="SZ"</formula>
    </cfRule>
  </conditionalFormatting>
  <conditionalFormatting sqref="C10:AG49">
    <cfRule type="expression" dxfId="109" priority="1" stopIfTrue="1">
      <formula>C10="FS"</formula>
    </cfRule>
    <cfRule type="expression" dxfId="108" priority="2">
      <formula>C10="K"</formula>
    </cfRule>
    <cfRule type="expression" dxfId="107" priority="3" stopIfTrue="1">
      <formula>C10="U"</formula>
    </cfRule>
    <cfRule type="expression" dxfId="106" priority="18">
      <formula>OR(C10="PT", C10="PN")</formula>
    </cfRule>
    <cfRule type="expression" dxfId="105" priority="19">
      <formula>C10="KT"</formula>
    </cfRule>
    <cfRule type="expression" dxfId="104" priority="20">
      <formula>OR(C10="KT", C10="T1", C10="HT", C10="T")</formula>
    </cfRule>
    <cfRule type="expression" dxfId="103" priority="32">
      <formula>C10="KN"</formula>
    </cfRule>
    <cfRule type="expression" dxfId="102" priority="33">
      <formula>OR(C10="KN", C10="N1", C10="HN", C10="N")</formula>
    </cfRule>
    <cfRule type="expression" dxfId="101" priority="34">
      <formula>C$9="FT"</formula>
    </cfRule>
    <cfRule type="expression" dxfId="100" priority="35">
      <formula>C$8&gt;5</formula>
    </cfRule>
    <cfRule type="expression" dxfId="99" priority="36">
      <formula>C10="S"</formula>
    </cfRule>
    <cfRule type="expression" dxfId="98" priority="37">
      <formula>C10="F"</formula>
    </cfRule>
  </conditionalFormatting>
  <conditionalFormatting sqref="C50:AG50">
    <cfRule type="expression" dxfId="97" priority="31" stopIfTrue="1">
      <formula>C$50="S"</formula>
    </cfRule>
  </conditionalFormatting>
  <conditionalFormatting sqref="AI10:AI49">
    <cfRule type="cellIs" dxfId="96" priority="28" stopIfTrue="1" operator="equal">
      <formula>0</formula>
    </cfRule>
    <cfRule type="cellIs" dxfId="95" priority="29" operator="greaterThan">
      <formula>0</formula>
    </cfRule>
  </conditionalFormatting>
  <conditionalFormatting sqref="AM10:AM49">
    <cfRule type="cellIs" dxfId="94" priority="26" stopIfTrue="1" operator="equal">
      <formula>0</formula>
    </cfRule>
    <cfRule type="cellIs" dxfId="93" priority="27" operator="greaterThan">
      <formula>0</formula>
    </cfRule>
  </conditionalFormatting>
  <conditionalFormatting sqref="AH10:AH49">
    <cfRule type="cellIs" dxfId="92" priority="25" operator="equal">
      <formula>0</formula>
    </cfRule>
  </conditionalFormatting>
  <conditionalFormatting sqref="AJ10:AK49">
    <cfRule type="cellIs" dxfId="91" priority="24" operator="equal">
      <formula>0</formula>
    </cfRule>
  </conditionalFormatting>
  <conditionalFormatting sqref="AL10:AL49">
    <cfRule type="cellIs" dxfId="90" priority="23" operator="equal">
      <formula>0</formula>
    </cfRule>
  </conditionalFormatting>
  <conditionalFormatting sqref="AN10:AP49">
    <cfRule type="cellIs" dxfId="89" priority="21" operator="equal">
      <formula>0</formula>
    </cfRule>
    <cfRule type="cellIs" dxfId="88" priority="22" stopIfTrue="1" operator="greaterThan">
      <formula>0</formula>
    </cfRule>
  </conditionalFormatting>
  <conditionalFormatting sqref="C84:AG84">
    <cfRule type="expression" dxfId="87" priority="9" stopIfTrue="1">
      <formula>IF($B$84="",1,0)</formula>
    </cfRule>
    <cfRule type="expression" dxfId="86" priority="43" stopIfTrue="1">
      <formula>IF(C$84&lt;&gt;$C$104,1,0)</formula>
    </cfRule>
    <cfRule type="expression" dxfId="85" priority="44" stopIfTrue="1">
      <formula>IF(C$84=$C$104,1,0)</formula>
    </cfRule>
  </conditionalFormatting>
  <conditionalFormatting sqref="C85:AG85">
    <cfRule type="expression" dxfId="84" priority="10" stopIfTrue="1">
      <formula>IF($B$85="",1,0)</formula>
    </cfRule>
    <cfRule type="expression" dxfId="83" priority="45">
      <formula>IF(C$85=$C$105,1,0)</formula>
    </cfRule>
    <cfRule type="expression" dxfId="82" priority="46">
      <formula>IF(C$85&lt;&gt;$C$105,1,0)</formula>
    </cfRule>
  </conditionalFormatting>
  <conditionalFormatting sqref="C86:AG86">
    <cfRule type="expression" dxfId="81" priority="11" stopIfTrue="1">
      <formula>IF($B$86="",1,0)</formula>
    </cfRule>
    <cfRule type="expression" dxfId="80" priority="47" stopIfTrue="1">
      <formula>IF(C$86&lt;&gt;$C$106,1,0)</formula>
    </cfRule>
    <cfRule type="expression" dxfId="79" priority="48" stopIfTrue="1">
      <formula>IF(C$86=$C$106,1,0)</formula>
    </cfRule>
  </conditionalFormatting>
  <conditionalFormatting sqref="C79:AG79">
    <cfRule type="expression" dxfId="78" priority="4">
      <formula>IF($B$79="",1,0)</formula>
    </cfRule>
    <cfRule type="expression" dxfId="77" priority="49">
      <formula>IF(C$79=$C$99,1,0)</formula>
    </cfRule>
    <cfRule type="expression" dxfId="76" priority="50">
      <formula>IF(C$79&lt;&gt;$C$99,1,0)</formula>
    </cfRule>
  </conditionalFormatting>
  <conditionalFormatting sqref="C81:AG81">
    <cfRule type="expression" dxfId="75" priority="6">
      <formula>IF($B$81="",1,0)</formula>
    </cfRule>
    <cfRule type="expression" dxfId="74" priority="51">
      <formula>IF(C$81=$C$101,1,0)</formula>
    </cfRule>
    <cfRule type="expression" dxfId="73" priority="52">
      <formula>IF(C$81&lt;&gt;$C$101,1,0)</formula>
    </cfRule>
  </conditionalFormatting>
  <conditionalFormatting sqref="C80:AG80">
    <cfRule type="expression" dxfId="72" priority="5">
      <formula>IF($B$80="",1,0)</formula>
    </cfRule>
    <cfRule type="expression" dxfId="71" priority="53">
      <formula>IF(C$80&lt;&gt;$C$100,1,0)</formula>
    </cfRule>
    <cfRule type="expression" dxfId="70" priority="54">
      <formula>IF(C$80=$C$100,1,0)</formula>
    </cfRule>
  </conditionalFormatting>
  <conditionalFormatting sqref="C82:AG82">
    <cfRule type="expression" dxfId="69" priority="7">
      <formula>IF($B$82="",1,0)</formula>
    </cfRule>
    <cfRule type="expression" dxfId="68" priority="55">
      <formula>IF(C$82&lt;&gt;$C$102,1,0)</formula>
    </cfRule>
    <cfRule type="expression" dxfId="67" priority="56">
      <formula>IF(C$82=$C$102,1,0)</formula>
    </cfRule>
  </conditionalFormatting>
  <conditionalFormatting sqref="C83:AG83">
    <cfRule type="expression" dxfId="66" priority="8" stopIfTrue="1">
      <formula>IF($B$83="",1,0)</formula>
    </cfRule>
    <cfRule type="expression" dxfId="65" priority="57" stopIfTrue="1">
      <formula>IF(C$83=$C$103,1,0)</formula>
    </cfRule>
    <cfRule type="expression" dxfId="64" priority="58" stopIfTrue="1">
      <formula>IF(C$83&lt;&gt;$C$103,1,0)</formula>
    </cfRule>
  </conditionalFormatting>
  <conditionalFormatting sqref="C88:AG88">
    <cfRule type="expression" dxfId="63" priority="13" stopIfTrue="1">
      <formula>IF($B$88="",1,0)</formula>
    </cfRule>
    <cfRule type="expression" dxfId="62" priority="16" stopIfTrue="1">
      <formula>IF(C$88&lt;&gt;$C$108,1,0)</formula>
    </cfRule>
    <cfRule type="expression" dxfId="61" priority="17" stopIfTrue="1">
      <formula>IF(C$88=$C$108,1,0)</formula>
    </cfRule>
  </conditionalFormatting>
  <conditionalFormatting sqref="C87:AG87">
    <cfRule type="expression" dxfId="60" priority="12" stopIfTrue="1">
      <formula>IF($B$87="",1,0)</formula>
    </cfRule>
    <cfRule type="expression" dxfId="59" priority="14" stopIfTrue="1">
      <formula>IF(C$87&lt;&gt;$C$107,1,0)</formula>
    </cfRule>
    <cfRule type="expression" dxfId="58" priority="15" stopIfTrue="1">
      <formula>IF(C$87=$C$107,1,0)</formula>
    </cfRule>
  </conditionalFormatting>
  <dataValidations count="1">
    <dataValidation type="list" allowBlank="1" showInputMessage="1" showErrorMessage="1" sqref="B10:B49" xr:uid="{A418D630-1A3D-4903-9F78-C840B7CCEF01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982B4-923A-44DE-B3DD-F45644D5857A}">
  <sheetPr codeName="Dienstplan30">
    <tabColor theme="4"/>
    <pageSetUpPr fitToPage="1"/>
  </sheetPr>
  <dimension ref="A1:BR113"/>
  <sheetViews>
    <sheetView showGridLines="0" zoomScale="70" zoomScaleNormal="70" workbookViewId="0">
      <selection activeCell="C10" sqref="C10"/>
    </sheetView>
  </sheetViews>
  <sheetFormatPr baseColWidth="10" defaultColWidth="11.36328125" defaultRowHeight="17.5" x14ac:dyDescent="0.35"/>
  <cols>
    <col min="1" max="1" width="3" style="117" customWidth="1"/>
    <col min="2" max="2" width="47.81640625" style="5" customWidth="1"/>
    <col min="3" max="33" width="6.81640625" style="5" customWidth="1"/>
    <col min="34" max="43" width="8.81640625" style="5" customWidth="1"/>
    <col min="44" max="44" width="3.1796875" style="5" customWidth="1"/>
    <col min="45" max="46" width="18.36328125" style="43" hidden="1" customWidth="1"/>
    <col min="47" max="48" width="18.36328125" style="5" hidden="1" customWidth="1"/>
    <col min="49" max="49" width="18.36328125" style="43" hidden="1" customWidth="1"/>
    <col min="50" max="53" width="7.1796875" style="5" customWidth="1"/>
    <col min="54" max="54" width="14.6328125" style="5" customWidth="1"/>
    <col min="55" max="55" width="8.36328125" style="5" customWidth="1"/>
    <col min="56" max="70" width="11.36328125" style="5" customWidth="1"/>
  </cols>
  <sheetData>
    <row r="1" spans="1:65" ht="67" customHeight="1" x14ac:dyDescent="0.85">
      <c r="B1" s="206" t="s">
        <v>28</v>
      </c>
      <c r="H1" s="207"/>
      <c r="I1" s="207"/>
      <c r="J1" s="207"/>
      <c r="K1" s="207"/>
      <c r="L1" s="207"/>
      <c r="M1" s="208" t="str">
        <f>"Dienstplan - " &amp; TEXT(DATE(Einstellungen!B3,C95,1),"MMMM")&amp; " " &amp;Einstellungen!B3</f>
        <v>Dienstplan - Dezember 2024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</row>
    <row r="2" spans="1:65" ht="36" customHeight="1" x14ac:dyDescent="0.35">
      <c r="B2" s="209" t="s">
        <v>29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</row>
    <row r="3" spans="1:65" ht="37" hidden="1" customHeight="1" thickBot="1" x14ac:dyDescent="0.4">
      <c r="B3" s="209"/>
      <c r="L3" s="257" t="str">
        <f>"1."&amp;C95&amp;"."&amp;Einstellungen!B3</f>
        <v>1.12.2024</v>
      </c>
      <c r="M3" s="257"/>
      <c r="N3" s="257"/>
      <c r="O3" s="257"/>
      <c r="P3" s="257"/>
      <c r="Q3" s="257"/>
      <c r="R3" s="257"/>
      <c r="S3" s="257"/>
    </row>
    <row r="4" spans="1:65" ht="37" customHeight="1" x14ac:dyDescent="0.35">
      <c r="B4" s="212" t="s">
        <v>53</v>
      </c>
      <c r="C4" s="213" t="str">
        <f>Einstellungen!E3</f>
        <v>Bayerwald Kaserne Regen</v>
      </c>
      <c r="D4" s="14"/>
      <c r="E4" s="14"/>
      <c r="F4" s="14"/>
      <c r="G4" s="14"/>
      <c r="H4" s="14"/>
      <c r="I4" s="14"/>
      <c r="J4" s="14"/>
      <c r="K4" s="14"/>
      <c r="L4" s="214"/>
      <c r="M4" s="215"/>
      <c r="N4" s="214"/>
      <c r="O4" s="214"/>
      <c r="P4" s="216"/>
      <c r="Q4" s="214"/>
      <c r="R4" s="214"/>
      <c r="S4" s="214"/>
      <c r="T4" s="14"/>
      <c r="U4" s="14"/>
      <c r="V4" s="14"/>
      <c r="W4" s="217"/>
      <c r="X4" s="14"/>
      <c r="Y4" s="218"/>
      <c r="Z4" s="14"/>
      <c r="AA4" s="14"/>
      <c r="AB4" s="14"/>
      <c r="AC4" s="14"/>
      <c r="AD4" s="14"/>
      <c r="AE4" s="14"/>
      <c r="AF4" s="14"/>
      <c r="AG4" s="14"/>
      <c r="AH4" s="219"/>
      <c r="AI4" s="14"/>
      <c r="AJ4" s="220"/>
      <c r="AK4" s="221"/>
      <c r="AL4" s="219"/>
      <c r="AM4" s="24"/>
      <c r="AN4" s="222"/>
      <c r="AO4" s="222"/>
      <c r="AP4" s="222"/>
      <c r="AQ4" s="222"/>
      <c r="AS4" s="258" t="s">
        <v>61</v>
      </c>
      <c r="AT4" s="258"/>
      <c r="AU4" s="258"/>
      <c r="AV4" s="258"/>
      <c r="AW4" s="258"/>
    </row>
    <row r="5" spans="1:65" ht="14" customHeight="1" thickBot="1" x14ac:dyDescent="0.55000000000000004">
      <c r="B5" s="223"/>
      <c r="C5" s="224"/>
      <c r="L5" s="211"/>
      <c r="M5" s="211"/>
      <c r="N5" s="211"/>
      <c r="O5" s="211"/>
      <c r="P5" s="211"/>
      <c r="Q5" s="211"/>
      <c r="R5" s="211"/>
      <c r="S5" s="211"/>
      <c r="W5" s="225"/>
      <c r="Y5" s="226"/>
      <c r="AK5" s="227"/>
      <c r="AL5" s="228"/>
      <c r="AM5" s="228"/>
      <c r="AN5" s="229"/>
      <c r="AO5" s="229"/>
      <c r="AP5" s="229"/>
    </row>
    <row r="6" spans="1:65" s="5" customFormat="1" ht="20" customHeight="1" x14ac:dyDescent="0.35">
      <c r="A6" s="117"/>
      <c r="B6" s="259" t="s">
        <v>52</v>
      </c>
      <c r="C6" s="99">
        <f>IF(MONTH(DATE(YEAR($L$3),MONTH($L$3),COLUMN()-COLUMN($B6)))&gt;MONTH($L$3),"",DATE(YEAR($L$3),MONTH($L$3),COLUMN()-COLUMN($B6)))</f>
        <v>45627</v>
      </c>
      <c r="D6" s="100">
        <f t="shared" ref="D6:AG6" si="0">IF(MONTH(DATE(YEAR($L$3),MONTH($L$3),COLUMN()-COLUMN($B6)))&gt;MONTH($L$3),"",DATE(YEAR($L$3),MONTH($L$3),COLUMN()-COLUMN($B6)))</f>
        <v>45628</v>
      </c>
      <c r="E6" s="100">
        <f t="shared" si="0"/>
        <v>45629</v>
      </c>
      <c r="F6" s="100">
        <f t="shared" si="0"/>
        <v>45630</v>
      </c>
      <c r="G6" s="100">
        <f t="shared" si="0"/>
        <v>45631</v>
      </c>
      <c r="H6" s="100">
        <f t="shared" si="0"/>
        <v>45632</v>
      </c>
      <c r="I6" s="100">
        <f t="shared" si="0"/>
        <v>45633</v>
      </c>
      <c r="J6" s="100">
        <f t="shared" si="0"/>
        <v>45634</v>
      </c>
      <c r="K6" s="100">
        <f t="shared" si="0"/>
        <v>45635</v>
      </c>
      <c r="L6" s="100">
        <f t="shared" si="0"/>
        <v>45636</v>
      </c>
      <c r="M6" s="100">
        <f t="shared" si="0"/>
        <v>45637</v>
      </c>
      <c r="N6" s="100">
        <f t="shared" si="0"/>
        <v>45638</v>
      </c>
      <c r="O6" s="100">
        <f t="shared" si="0"/>
        <v>45639</v>
      </c>
      <c r="P6" s="100">
        <f t="shared" si="0"/>
        <v>45640</v>
      </c>
      <c r="Q6" s="100">
        <f t="shared" si="0"/>
        <v>45641</v>
      </c>
      <c r="R6" s="100">
        <f t="shared" si="0"/>
        <v>45642</v>
      </c>
      <c r="S6" s="100">
        <f t="shared" si="0"/>
        <v>45643</v>
      </c>
      <c r="T6" s="100">
        <f t="shared" si="0"/>
        <v>45644</v>
      </c>
      <c r="U6" s="100">
        <f t="shared" si="0"/>
        <v>45645</v>
      </c>
      <c r="V6" s="100">
        <f t="shared" si="0"/>
        <v>45646</v>
      </c>
      <c r="W6" s="100">
        <f t="shared" si="0"/>
        <v>45647</v>
      </c>
      <c r="X6" s="100">
        <f t="shared" si="0"/>
        <v>45648</v>
      </c>
      <c r="Y6" s="100">
        <f t="shared" si="0"/>
        <v>45649</v>
      </c>
      <c r="Z6" s="100">
        <f t="shared" si="0"/>
        <v>45650</v>
      </c>
      <c r="AA6" s="100">
        <f t="shared" si="0"/>
        <v>45651</v>
      </c>
      <c r="AB6" s="100">
        <f t="shared" si="0"/>
        <v>45652</v>
      </c>
      <c r="AC6" s="100">
        <f t="shared" si="0"/>
        <v>45653</v>
      </c>
      <c r="AD6" s="100">
        <f t="shared" si="0"/>
        <v>45654</v>
      </c>
      <c r="AE6" s="100">
        <f t="shared" si="0"/>
        <v>45655</v>
      </c>
      <c r="AF6" s="100">
        <f t="shared" si="0"/>
        <v>45656</v>
      </c>
      <c r="AG6" s="101">
        <f t="shared" si="0"/>
        <v>45657</v>
      </c>
      <c r="AH6" s="261" t="s">
        <v>17</v>
      </c>
      <c r="AI6" s="263" t="s">
        <v>18</v>
      </c>
      <c r="AJ6" s="265" t="s">
        <v>76</v>
      </c>
      <c r="AK6" s="109" t="s">
        <v>46</v>
      </c>
      <c r="AL6" s="110" t="s">
        <v>46</v>
      </c>
      <c r="AM6" s="111" t="s">
        <v>46</v>
      </c>
      <c r="AN6" s="112" t="s">
        <v>19</v>
      </c>
      <c r="AO6" s="112" t="s">
        <v>19</v>
      </c>
      <c r="AP6" s="112" t="s">
        <v>19</v>
      </c>
      <c r="AQ6" s="267" t="s">
        <v>51</v>
      </c>
      <c r="AS6" s="78" t="s">
        <v>22</v>
      </c>
      <c r="AT6" s="79" t="s">
        <v>22</v>
      </c>
      <c r="AU6" s="74" t="s">
        <v>62</v>
      </c>
      <c r="AV6" s="74" t="s">
        <v>62</v>
      </c>
      <c r="AW6" s="86" t="s">
        <v>18</v>
      </c>
    </row>
    <row r="7" spans="1:65" s="5" customFormat="1" ht="20" customHeight="1" thickBot="1" x14ac:dyDescent="0.4">
      <c r="A7" s="117"/>
      <c r="B7" s="260"/>
      <c r="C7" s="102">
        <f>IF(MONTH(DATE(YEAR($L$3),MONTH($L$3),COLUMN()-COLUMN($B6)))&gt;MONTH($L$3),"",DATE(YEAR($L$3),MONTH($L$3),COLUMN()-COLUMN($B6)))</f>
        <v>45627</v>
      </c>
      <c r="D7" s="103">
        <f t="shared" ref="D7:AG7" si="1">IF(MONTH(DATE(YEAR($L$3),MONTH($L$3),COLUMN()-COLUMN($B6)))&gt;MONTH($L$3),"",DATE(YEAR($L$3),MONTH($L$3),COLUMN()-COLUMN($B6)))</f>
        <v>45628</v>
      </c>
      <c r="E7" s="103">
        <f t="shared" si="1"/>
        <v>45629</v>
      </c>
      <c r="F7" s="103">
        <f t="shared" si="1"/>
        <v>45630</v>
      </c>
      <c r="G7" s="103">
        <f t="shared" si="1"/>
        <v>45631</v>
      </c>
      <c r="H7" s="103">
        <f t="shared" si="1"/>
        <v>45632</v>
      </c>
      <c r="I7" s="103">
        <f t="shared" si="1"/>
        <v>45633</v>
      </c>
      <c r="J7" s="103">
        <f t="shared" si="1"/>
        <v>45634</v>
      </c>
      <c r="K7" s="103">
        <f t="shared" si="1"/>
        <v>45635</v>
      </c>
      <c r="L7" s="103">
        <f t="shared" si="1"/>
        <v>45636</v>
      </c>
      <c r="M7" s="103">
        <f t="shared" si="1"/>
        <v>45637</v>
      </c>
      <c r="N7" s="103">
        <f t="shared" si="1"/>
        <v>45638</v>
      </c>
      <c r="O7" s="103">
        <f t="shared" si="1"/>
        <v>45639</v>
      </c>
      <c r="P7" s="103">
        <f t="shared" si="1"/>
        <v>45640</v>
      </c>
      <c r="Q7" s="103">
        <f t="shared" si="1"/>
        <v>45641</v>
      </c>
      <c r="R7" s="103">
        <f t="shared" si="1"/>
        <v>45642</v>
      </c>
      <c r="S7" s="103">
        <f t="shared" si="1"/>
        <v>45643</v>
      </c>
      <c r="T7" s="103">
        <f t="shared" si="1"/>
        <v>45644</v>
      </c>
      <c r="U7" s="103">
        <f t="shared" si="1"/>
        <v>45645</v>
      </c>
      <c r="V7" s="103">
        <f t="shared" si="1"/>
        <v>45646</v>
      </c>
      <c r="W7" s="103">
        <f t="shared" si="1"/>
        <v>45647</v>
      </c>
      <c r="X7" s="103">
        <f t="shared" si="1"/>
        <v>45648</v>
      </c>
      <c r="Y7" s="103">
        <f t="shared" si="1"/>
        <v>45649</v>
      </c>
      <c r="Z7" s="103">
        <f t="shared" si="1"/>
        <v>45650</v>
      </c>
      <c r="AA7" s="103">
        <f t="shared" si="1"/>
        <v>45651</v>
      </c>
      <c r="AB7" s="103">
        <f t="shared" si="1"/>
        <v>45652</v>
      </c>
      <c r="AC7" s="103">
        <f t="shared" si="1"/>
        <v>45653</v>
      </c>
      <c r="AD7" s="103">
        <f t="shared" si="1"/>
        <v>45654</v>
      </c>
      <c r="AE7" s="103">
        <f t="shared" si="1"/>
        <v>45655</v>
      </c>
      <c r="AF7" s="103">
        <f t="shared" si="1"/>
        <v>45656</v>
      </c>
      <c r="AG7" s="104">
        <f t="shared" si="1"/>
        <v>45657</v>
      </c>
      <c r="AH7" s="262"/>
      <c r="AI7" s="264"/>
      <c r="AJ7" s="266"/>
      <c r="AK7" s="113" t="s">
        <v>45</v>
      </c>
      <c r="AL7" s="114" t="s">
        <v>47</v>
      </c>
      <c r="AM7" s="115" t="s">
        <v>48</v>
      </c>
      <c r="AN7" s="116" t="s">
        <v>45</v>
      </c>
      <c r="AO7" s="116" t="s">
        <v>49</v>
      </c>
      <c r="AP7" s="116" t="s">
        <v>50</v>
      </c>
      <c r="AQ7" s="268"/>
      <c r="AR7" s="105"/>
      <c r="AS7" s="80" t="s">
        <v>54</v>
      </c>
      <c r="AT7" s="81" t="s">
        <v>55</v>
      </c>
      <c r="AU7" s="75" t="s">
        <v>54</v>
      </c>
      <c r="AV7" s="75" t="s">
        <v>55</v>
      </c>
      <c r="AW7" s="87" t="s">
        <v>63</v>
      </c>
    </row>
    <row r="8" spans="1:65" s="12" customFormat="1" ht="25.25" hidden="1" customHeight="1" x14ac:dyDescent="0.35">
      <c r="A8" s="117"/>
      <c r="B8" s="17" t="s">
        <v>21</v>
      </c>
      <c r="C8" s="67">
        <f>IFERROR(WEEKDAY(C6,2), 0)</f>
        <v>7</v>
      </c>
      <c r="D8" s="67">
        <f>IFERROR(WEEKDAY(D6,2), 0)</f>
        <v>1</v>
      </c>
      <c r="E8" s="67">
        <f t="shared" ref="E8:AG8" si="2">IFERROR(WEEKDAY(E6,2), 0)</f>
        <v>2</v>
      </c>
      <c r="F8" s="67">
        <f t="shared" si="2"/>
        <v>3</v>
      </c>
      <c r="G8" s="67">
        <f t="shared" si="2"/>
        <v>4</v>
      </c>
      <c r="H8" s="67">
        <f t="shared" si="2"/>
        <v>5</v>
      </c>
      <c r="I8" s="67">
        <f t="shared" si="2"/>
        <v>6</v>
      </c>
      <c r="J8" s="67">
        <f t="shared" si="2"/>
        <v>7</v>
      </c>
      <c r="K8" s="67">
        <f t="shared" si="2"/>
        <v>1</v>
      </c>
      <c r="L8" s="67">
        <f t="shared" si="2"/>
        <v>2</v>
      </c>
      <c r="M8" s="67">
        <f t="shared" si="2"/>
        <v>3</v>
      </c>
      <c r="N8" s="67">
        <f t="shared" si="2"/>
        <v>4</v>
      </c>
      <c r="O8" s="67">
        <f t="shared" si="2"/>
        <v>5</v>
      </c>
      <c r="P8" s="67">
        <f t="shared" si="2"/>
        <v>6</v>
      </c>
      <c r="Q8" s="67">
        <f t="shared" si="2"/>
        <v>7</v>
      </c>
      <c r="R8" s="67">
        <f t="shared" si="2"/>
        <v>1</v>
      </c>
      <c r="S8" s="67">
        <f t="shared" si="2"/>
        <v>2</v>
      </c>
      <c r="T8" s="67">
        <f t="shared" si="2"/>
        <v>3</v>
      </c>
      <c r="U8" s="67">
        <f t="shared" si="2"/>
        <v>4</v>
      </c>
      <c r="V8" s="67">
        <f t="shared" si="2"/>
        <v>5</v>
      </c>
      <c r="W8" s="67">
        <f t="shared" si="2"/>
        <v>6</v>
      </c>
      <c r="X8" s="67">
        <f t="shared" si="2"/>
        <v>7</v>
      </c>
      <c r="Y8" s="67">
        <f t="shared" si="2"/>
        <v>1</v>
      </c>
      <c r="Z8" s="67">
        <f t="shared" si="2"/>
        <v>2</v>
      </c>
      <c r="AA8" s="67">
        <f t="shared" si="2"/>
        <v>3</v>
      </c>
      <c r="AB8" s="67">
        <f t="shared" si="2"/>
        <v>4</v>
      </c>
      <c r="AC8" s="67">
        <f t="shared" si="2"/>
        <v>5</v>
      </c>
      <c r="AD8" s="67">
        <f t="shared" si="2"/>
        <v>6</v>
      </c>
      <c r="AE8" s="67">
        <f t="shared" si="2"/>
        <v>7</v>
      </c>
      <c r="AF8" s="67">
        <f t="shared" si="2"/>
        <v>1</v>
      </c>
      <c r="AG8" s="71">
        <f t="shared" si="2"/>
        <v>2</v>
      </c>
      <c r="AH8" s="72"/>
      <c r="AI8" s="44"/>
      <c r="AJ8" s="155"/>
      <c r="AK8" s="44"/>
      <c r="AL8" s="63"/>
      <c r="AM8" s="65"/>
      <c r="AN8" s="61"/>
      <c r="AO8" s="61"/>
      <c r="AP8" s="61"/>
      <c r="AQ8" s="96"/>
      <c r="AS8" s="82"/>
      <c r="AT8" s="83"/>
      <c r="AU8" s="76"/>
      <c r="AV8" s="76"/>
      <c r="AW8" s="88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2" customFormat="1" ht="25.25" hidden="1" customHeight="1" thickBot="1" x14ac:dyDescent="0.4">
      <c r="A9" s="117"/>
      <c r="B9" s="18" t="s">
        <v>22</v>
      </c>
      <c r="C9" s="19" t="str">
        <f>IF(ISNA(VLOOKUP(C$6,Einstellungen!$B$8:$B$22,1,0)),"","FT")</f>
        <v/>
      </c>
      <c r="D9" s="13" t="str">
        <f>IF(ISNA(VLOOKUP(D$6,Einstellungen!$B$8:$B$22,1,0)),"","FT")</f>
        <v/>
      </c>
      <c r="E9" s="13" t="str">
        <f>IF(ISNA(VLOOKUP(E$6,Einstellungen!$B$8:$B$22,1,0)),"","FT")</f>
        <v/>
      </c>
      <c r="F9" s="13" t="str">
        <f>IF(ISNA(VLOOKUP(F$6,Einstellungen!$B$8:$B$22,1,0)),"","FT")</f>
        <v/>
      </c>
      <c r="G9" s="13" t="str">
        <f>IF(ISNA(VLOOKUP(G$6,Einstellungen!$B$8:$B$22,1,0)),"","FT")</f>
        <v/>
      </c>
      <c r="H9" s="13" t="str">
        <f>IF(ISNA(VLOOKUP(H$6,Einstellungen!$B$8:$B$22,1,0)),"","FT")</f>
        <v/>
      </c>
      <c r="I9" s="13" t="str">
        <f>IF(ISNA(VLOOKUP(I$6,Einstellungen!$B$8:$B$22,1,0)),"","FT")</f>
        <v/>
      </c>
      <c r="J9" s="13" t="str">
        <f>IF(ISNA(VLOOKUP(J$6,Einstellungen!$B$8:$B$22,1,0)),"","FT")</f>
        <v/>
      </c>
      <c r="K9" s="13" t="str">
        <f>IF(ISNA(VLOOKUP(K$6,Einstellungen!$B$8:$B$22,1,0)),"","FT")</f>
        <v/>
      </c>
      <c r="L9" s="13" t="str">
        <f>IF(ISNA(VLOOKUP(L$6,Einstellungen!$B$8:$B$22,1,0)),"","FT")</f>
        <v/>
      </c>
      <c r="M9" s="13" t="str">
        <f>IF(ISNA(VLOOKUP(M$6,Einstellungen!$B$8:$B$22,1,0)),"","FT")</f>
        <v/>
      </c>
      <c r="N9" s="13" t="str">
        <f>IF(ISNA(VLOOKUP(N$6,Einstellungen!$B$8:$B$22,1,0)),"","FT")</f>
        <v/>
      </c>
      <c r="O9" s="13" t="str">
        <f>IF(ISNA(VLOOKUP(O$6,Einstellungen!$B$8:$B$22,1,0)),"","FT")</f>
        <v/>
      </c>
      <c r="P9" s="13" t="str">
        <f>IF(ISNA(VLOOKUP(P$6,Einstellungen!$B$8:$B$22,1,0)),"","FT")</f>
        <v/>
      </c>
      <c r="Q9" s="13" t="str">
        <f>IF(ISNA(VLOOKUP(Q$6,Einstellungen!$B$8:$B$22,1,0)),"","FT")</f>
        <v/>
      </c>
      <c r="R9" s="13" t="str">
        <f>IF(ISNA(VLOOKUP(R$6,Einstellungen!$B$8:$B$22,1,0)),"","FT")</f>
        <v/>
      </c>
      <c r="S9" s="13" t="str">
        <f>IF(ISNA(VLOOKUP(S$6,Einstellungen!$B$8:$B$22,1,0)),"","FT")</f>
        <v/>
      </c>
      <c r="T9" s="13" t="str">
        <f>IF(ISNA(VLOOKUP(T$6,Einstellungen!$B$8:$B$22,1,0)),"","FT")</f>
        <v/>
      </c>
      <c r="U9" s="13" t="str">
        <f>IF(ISNA(VLOOKUP(U$6,Einstellungen!$B$8:$B$22,1,0)),"","FT")</f>
        <v/>
      </c>
      <c r="V9" s="13" t="str">
        <f>IF(ISNA(VLOOKUP(V$6,Einstellungen!$B$8:$B$22,1,0)),"","FT")</f>
        <v/>
      </c>
      <c r="W9" s="13" t="str">
        <f>IF(ISNA(VLOOKUP(W$6,Einstellungen!$B$8:$B$22,1,0)),"","FT")</f>
        <v/>
      </c>
      <c r="X9" s="13" t="str">
        <f>IF(ISNA(VLOOKUP(X$6,Einstellungen!$B$8:$B$22,1,0)),"","FT")</f>
        <v/>
      </c>
      <c r="Y9" s="13" t="str">
        <f>IF(ISNA(VLOOKUP(Y$6,Einstellungen!$B$8:$B$22,1,0)),"","FT")</f>
        <v/>
      </c>
      <c r="Z9" s="13" t="str">
        <f>IF(ISNA(VLOOKUP(Z$6,Einstellungen!$B$8:$B$22,1,0)),"","FT")</f>
        <v/>
      </c>
      <c r="AA9" s="13" t="str">
        <f>IF(ISNA(VLOOKUP(AA$6,Einstellungen!$B$8:$B$22,1,0)),"","FT")</f>
        <v>FT</v>
      </c>
      <c r="AB9" s="13" t="str">
        <f>IF(ISNA(VLOOKUP(AB$6,Einstellungen!$B$8:$B$22,1,0)),"","FT")</f>
        <v>FT</v>
      </c>
      <c r="AC9" s="13" t="str">
        <f>IF(ISNA(VLOOKUP(AC$6,Einstellungen!$B$8:$B$22,1,0)),"","FT")</f>
        <v/>
      </c>
      <c r="AD9" s="13" t="str">
        <f>IF(ISNA(VLOOKUP(AD$6,Einstellungen!$B$8:$B$22,1,0)),"","FT")</f>
        <v/>
      </c>
      <c r="AE9" s="13" t="str">
        <f>IF(ISNA(VLOOKUP(AE$6,Einstellungen!$B$8:$B$22,1,0)),"","FT")</f>
        <v/>
      </c>
      <c r="AF9" s="13" t="str">
        <f>IF(ISNA(VLOOKUP(AF$6,Einstellungen!$B$8:$B$22,1,0)),"","FT")</f>
        <v/>
      </c>
      <c r="AG9" s="51" t="str">
        <f>IF(ISNA(VLOOKUP(AG$6,Einstellungen!$B$8:$B$22,1,0)),"","FT")</f>
        <v/>
      </c>
      <c r="AH9" s="53"/>
      <c r="AI9" s="45"/>
      <c r="AJ9" s="156"/>
      <c r="AK9" s="45"/>
      <c r="AL9" s="64"/>
      <c r="AM9" s="66"/>
      <c r="AN9" s="62"/>
      <c r="AO9" s="62"/>
      <c r="AP9" s="62"/>
      <c r="AQ9" s="97"/>
      <c r="AS9" s="84"/>
      <c r="AT9" s="85"/>
      <c r="AU9" s="77"/>
      <c r="AV9" s="77"/>
      <c r="AW9" s="89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5" customFormat="1" ht="30" customHeight="1" x14ac:dyDescent="0.35">
      <c r="A10" s="106" t="str">
        <f>IF(B10="","",VLOOKUP(B10,Einstellungen!$E$9:$F$99,2,FALSE))</f>
        <v/>
      </c>
      <c r="B10" s="47"/>
      <c r="C10" s="23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2"/>
      <c r="AH10" s="150" t="str" cm="1">
        <f t="array" ref="AH10">IF(SUMPRODUCT(ISNUMBER(MATCH($C10:$AG10, Tagschichten, 0)) * 1)=0, "", SUMPRODUCT(ISNUMBER(MATCH($C10:$AG10, Tagschichten, 0)) * 1))</f>
        <v/>
      </c>
      <c r="AI10" s="151" cm="1">
        <f t="array" ref="AI10">SUMPRODUCT(ISNUMBER(MATCH($C10:$AG10, Nachtschichten, 0)) * 1)</f>
        <v>0</v>
      </c>
      <c r="AJ10" s="157">
        <f>SUM(AH10:AI10)</f>
        <v>0</v>
      </c>
      <c r="AK10" s="197">
        <f>AJ10*12</f>
        <v>0</v>
      </c>
      <c r="AL10" s="198">
        <f>$AU10*12 + $AV10*6</f>
        <v>0</v>
      </c>
      <c r="AM10" s="199">
        <f>$AS10*12 + $AT10*6 + $AW10*6</f>
        <v>0</v>
      </c>
      <c r="AN10" s="200"/>
      <c r="AO10" s="200"/>
      <c r="AP10" s="200"/>
      <c r="AQ10" s="201">
        <f>COUNTIF($C10:$AG10, "K")</f>
        <v>0</v>
      </c>
      <c r="AR10" s="7"/>
      <c r="AS10" s="90" cm="1">
        <f t="array" ref="AS10">SUMPRODUCT(--(ISNUMBER(MATCH($C10:$AG10, Tagschichten, 0))) * (C$9:AG$9="FT"))</f>
        <v>0</v>
      </c>
      <c r="AT10" s="68" cm="1">
        <f t="array" ref="AT10">SUMPRODUCT(--(ISNUMBER(MATCH($C10:$AG10, Nachtschichten, 0))) * (C$9:AG$9="FT"))</f>
        <v>0</v>
      </c>
      <c r="AU10" s="91" cm="1">
        <f t="array" ref="AU10">SUMPRODUCT(--(ISNUMBER(MATCH($C10:$AG10, Tagschichten, 0))) * (C$9:AG$9&lt;&gt;"FT") * (C$8:AG$8=7))</f>
        <v>0</v>
      </c>
      <c r="AV10" s="95" cm="1">
        <f t="array" ref="AV10">SUMPRODUCT(--(ISNUMBER(MATCH($C10:$AG10, Nachtschichten, 0))) * (C$8:AG$8&gt;=6))</f>
        <v>0</v>
      </c>
      <c r="AW10" s="92" cm="1">
        <f t="array" ref="AW10">SUMPRODUCT(
    --(ISNUMBER(MATCH(C10:AF10, Nachtschichten, 0))) *
    ISNUMBER(MATCH(
        IF(D$6:AG$6="", C$6:AF$6+1, D$6:AG$6),
        Einstellungen!$B$8:$B$22, 0))
)+
IF(AND(
    NOT(ISBLANK(AG$6)),
    ISNUMBER(MATCH(AG10, Nachtschichten, 0)),
    ISNUMBER(MATCH(AG$6+1, Einstellungen!$B$8:$B$22, 0))
),
1, 0)+
IF(AND(
    ISNUMBER(MATCH(AG10, Nachtschichten, 0)),
    $C$95=12),
1, 0)</f>
        <v>0</v>
      </c>
    </row>
    <row r="11" spans="1:65" s="5" customFormat="1" ht="30" customHeight="1" x14ac:dyDescent="0.35">
      <c r="A11" s="106" t="str">
        <f>IF(B11="","",VLOOKUP(B11,Einstellungen!$E$9:$F$99,2,FALSE))</f>
        <v/>
      </c>
      <c r="B11" s="233"/>
      <c r="C11" s="23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2"/>
      <c r="AH11" s="150" cm="1">
        <f t="array" ref="AH11">SUMPRODUCT(ISNUMBER(MATCH($C11:$AG11, Tagschichten, 0)) * 1)</f>
        <v>0</v>
      </c>
      <c r="AI11" s="151" cm="1">
        <f t="array" ref="AI11">SUMPRODUCT(ISNUMBER(MATCH($C11:$AG11, Nachtschichten, 0)) * 1)</f>
        <v>0</v>
      </c>
      <c r="AJ11" s="157">
        <f>SUM(AH11:AI11)</f>
        <v>0</v>
      </c>
      <c r="AK11" s="197">
        <f t="shared" ref="AK11:AK49" si="3">AJ11*12</f>
        <v>0</v>
      </c>
      <c r="AL11" s="198">
        <f t="shared" ref="AL11:AL49" si="4">$AU11*12 + $AV11*6</f>
        <v>0</v>
      </c>
      <c r="AM11" s="199">
        <f t="shared" ref="AM11:AM49" si="5">$AS11*12 + $AT11*6 + $AW11*6</f>
        <v>0</v>
      </c>
      <c r="AN11" s="200"/>
      <c r="AO11" s="200"/>
      <c r="AP11" s="200"/>
      <c r="AQ11" s="201">
        <f t="shared" ref="AQ11:AQ49" si="6">COUNTIF($C11:$AG11, "K")</f>
        <v>0</v>
      </c>
      <c r="AR11" s="7"/>
      <c r="AS11" s="90" cm="1">
        <f t="array" ref="AS11">SUMPRODUCT(--(ISNUMBER(MATCH($C11:$AG11, Tagschichten, 0))) * (C$9:AG$9="FT"))</f>
        <v>0</v>
      </c>
      <c r="AT11" s="68" cm="1">
        <f t="array" ref="AT11">SUMPRODUCT(--(ISNUMBER(MATCH($C11:$AG11, Nachtschichten, 0))) * (C$9:AG$9="FT"))</f>
        <v>0</v>
      </c>
      <c r="AU11" s="91" cm="1">
        <f t="array" ref="AU11">SUMPRODUCT(--(ISNUMBER(MATCH($C11:$AG11, Tagschichten, 0))) * (C$9:AG$9&lt;&gt;"FT") * (C$8:AG$8=7))</f>
        <v>0</v>
      </c>
      <c r="AV11" s="95" cm="1">
        <f t="array" ref="AV11">SUMPRODUCT(--(ISNUMBER(MATCH($C11:$AG11, Nachtschichten, 0))) * (C$8:AG$8&gt;=6))</f>
        <v>0</v>
      </c>
      <c r="AW11" s="92" cm="1">
        <f t="array" ref="AW11">SUMPRODUCT(
    --(ISNUMBER(MATCH(C11:AF11, Nachtschichten, 0))) *
    ISNUMBER(MATCH(
        IF(D$6:AG$6="", C$6:AF$6+1, D$6:AG$6),
        Einstellungen!$B$8:$B$22, 0))
)+
IF(AND(
    NOT(ISBLANK(AG$6)),
    ISNUMBER(MATCH(AG11, Nachtschichten, 0)),
    ISNUMBER(MATCH(AG$6+1, Einstellungen!$B$8:$B$22, 0))
),
1, 0)+
IF(AND(
    ISNUMBER(MATCH(AG11, Nachtschichten, 0)),
    $C$95=12),
1, 0)</f>
        <v>0</v>
      </c>
    </row>
    <row r="12" spans="1:65" s="5" customFormat="1" ht="30" customHeight="1" x14ac:dyDescent="0.35">
      <c r="A12" s="106" t="str">
        <f>IF(B12="","",VLOOKUP(B12,Einstellungen!$E$9:$F$99,2,FALSE))</f>
        <v/>
      </c>
      <c r="B12" s="233"/>
      <c r="C12" s="231"/>
      <c r="D12" s="21"/>
      <c r="E12" s="21"/>
      <c r="F12" s="21"/>
      <c r="G12" s="23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2"/>
      <c r="AH12" s="150" cm="1">
        <f t="array" ref="AH12">SUMPRODUCT(ISNUMBER(MATCH($C12:$AG12, Tagschichten, 0)) * 1)</f>
        <v>0</v>
      </c>
      <c r="AI12" s="151" cm="1">
        <f t="array" ref="AI12">SUMPRODUCT(ISNUMBER(MATCH($C12:$AG12, Nachtschichten, 0)) * 1)</f>
        <v>0</v>
      </c>
      <c r="AJ12" s="157">
        <f t="shared" ref="AJ12:AJ49" si="7">SUM(AH12:AI12)</f>
        <v>0</v>
      </c>
      <c r="AK12" s="197">
        <f t="shared" si="3"/>
        <v>0</v>
      </c>
      <c r="AL12" s="198">
        <f t="shared" si="4"/>
        <v>0</v>
      </c>
      <c r="AM12" s="199">
        <f t="shared" si="5"/>
        <v>0</v>
      </c>
      <c r="AN12" s="200"/>
      <c r="AO12" s="200"/>
      <c r="AP12" s="200"/>
      <c r="AQ12" s="201">
        <f t="shared" si="6"/>
        <v>0</v>
      </c>
      <c r="AR12" s="7"/>
      <c r="AS12" s="90" cm="1">
        <f t="array" ref="AS12">SUMPRODUCT(--(ISNUMBER(MATCH($C12:$AG12, Tagschichten, 0))) * (C$9:AG$9="FT"))</f>
        <v>0</v>
      </c>
      <c r="AT12" s="68" cm="1">
        <f t="array" ref="AT12">SUMPRODUCT(--(ISNUMBER(MATCH($C12:$AG12, Nachtschichten, 0))) * (C$9:AG$9="FT"))</f>
        <v>0</v>
      </c>
      <c r="AU12" s="91" cm="1">
        <f t="array" ref="AU12">SUMPRODUCT(--(ISNUMBER(MATCH($C12:$AG12, Tagschichten, 0))) * (C$9:AG$9&lt;&gt;"FT") * (C$8:AG$8=7))</f>
        <v>0</v>
      </c>
      <c r="AV12" s="95" cm="1">
        <f t="array" ref="AV12">SUMPRODUCT(--(ISNUMBER(MATCH($C12:$AG12, Nachtschichten, 0))) * (C$8:AG$8&gt;=6))</f>
        <v>0</v>
      </c>
      <c r="AW12" s="92" cm="1">
        <f t="array" ref="AW12">SUMPRODUCT(
    --(ISNUMBER(MATCH(C12:AF12, Nachtschichten, 0))) *
    ISNUMBER(MATCH(
        IF(D$6:AG$6="", C$6:AF$6+1, D$6:AG$6),
        Einstellungen!$B$8:$B$22, 0))
)+
IF(AND(
    NOT(ISBLANK(AG$6)),
    ISNUMBER(MATCH(AG12, Nachtschichten, 0)),
    ISNUMBER(MATCH(AG$6+1, Einstellungen!$B$8:$B$22, 0))
),
1, 0)+
IF(AND(
    ISNUMBER(MATCH(AG12, Nachtschichten, 0)),
    $C$95=12),
1, 0)</f>
        <v>0</v>
      </c>
    </row>
    <row r="13" spans="1:65" s="5" customFormat="1" ht="30" customHeight="1" x14ac:dyDescent="0.35">
      <c r="A13" s="106" t="str">
        <f>IF(B13="","",VLOOKUP(B13,Einstellungen!$E$9:$F$99,2,FALSE))</f>
        <v/>
      </c>
      <c r="B13" s="233"/>
      <c r="C13" s="23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2"/>
      <c r="AH13" s="150" cm="1">
        <f t="array" ref="AH13">SUMPRODUCT(ISNUMBER(MATCH($C13:$AG13, Tagschichten, 0)) * 1)</f>
        <v>0</v>
      </c>
      <c r="AI13" s="151" cm="1">
        <f t="array" ref="AI13">SUMPRODUCT(ISNUMBER(MATCH($C13:$AG13, Nachtschichten, 0)) * 1)</f>
        <v>0</v>
      </c>
      <c r="AJ13" s="157">
        <f t="shared" si="7"/>
        <v>0</v>
      </c>
      <c r="AK13" s="197">
        <f t="shared" si="3"/>
        <v>0</v>
      </c>
      <c r="AL13" s="198">
        <f t="shared" si="4"/>
        <v>0</v>
      </c>
      <c r="AM13" s="199">
        <f t="shared" si="5"/>
        <v>0</v>
      </c>
      <c r="AN13" s="200"/>
      <c r="AO13" s="200"/>
      <c r="AP13" s="200"/>
      <c r="AQ13" s="201">
        <f t="shared" si="6"/>
        <v>0</v>
      </c>
      <c r="AR13" s="7"/>
      <c r="AS13" s="90" cm="1">
        <f t="array" ref="AS13">SUMPRODUCT(--(ISNUMBER(MATCH($C13:$AG13, Tagschichten, 0))) * (C$9:AG$9="FT"))</f>
        <v>0</v>
      </c>
      <c r="AT13" s="68" cm="1">
        <f t="array" ref="AT13">SUMPRODUCT(--(ISNUMBER(MATCH($C13:$AG13, Nachtschichten, 0))) * (C$9:AG$9="FT"))</f>
        <v>0</v>
      </c>
      <c r="AU13" s="91" cm="1">
        <f t="array" ref="AU13">SUMPRODUCT(--(ISNUMBER(MATCH($C13:$AG13, Tagschichten, 0))) * (C$9:AG$9&lt;&gt;"FT") * (C$8:AG$8=7))</f>
        <v>0</v>
      </c>
      <c r="AV13" s="95" cm="1">
        <f t="array" ref="AV13">SUMPRODUCT(--(ISNUMBER(MATCH($C13:$AG13, Nachtschichten, 0))) * (C$8:AG$8&gt;=6))</f>
        <v>0</v>
      </c>
      <c r="AW13" s="92" cm="1">
        <f t="array" ref="AW13">SUMPRODUCT(
    --(ISNUMBER(MATCH(C13:AF13, Nachtschichten, 0))) *
    ISNUMBER(MATCH(
        IF(D$6:AG$6="", C$6:AF$6+1, D$6:AG$6),
        Einstellungen!$B$8:$B$22, 0))
)+
IF(AND(
    NOT(ISBLANK(AG$6)),
    ISNUMBER(MATCH(AG13, Nachtschichten, 0)),
    ISNUMBER(MATCH(AG$6+1, Einstellungen!$B$8:$B$22, 0))
),
1, 0)+
IF(AND(
    ISNUMBER(MATCH(AG13, Nachtschichten, 0)),
    $C$95=12),
1, 0)</f>
        <v>0</v>
      </c>
    </row>
    <row r="14" spans="1:65" s="5" customFormat="1" ht="30" customHeight="1" x14ac:dyDescent="0.35">
      <c r="A14" s="106" t="str">
        <f>IF(B14="","",VLOOKUP(B14,Einstellungen!$E$9:$F$99,2,FALSE))</f>
        <v/>
      </c>
      <c r="B14" s="233"/>
      <c r="C14" s="23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2"/>
      <c r="AH14" s="150" cm="1">
        <f t="array" ref="AH14">SUMPRODUCT(ISNUMBER(MATCH($C14:$AG14, Tagschichten, 0)) * 1)</f>
        <v>0</v>
      </c>
      <c r="AI14" s="151" cm="1">
        <f t="array" ref="AI14">SUMPRODUCT(ISNUMBER(MATCH($C14:$AG14, Nachtschichten, 0)) * 1)</f>
        <v>0</v>
      </c>
      <c r="AJ14" s="157">
        <f t="shared" si="7"/>
        <v>0</v>
      </c>
      <c r="AK14" s="197">
        <f t="shared" si="3"/>
        <v>0</v>
      </c>
      <c r="AL14" s="198">
        <f t="shared" si="4"/>
        <v>0</v>
      </c>
      <c r="AM14" s="199">
        <f t="shared" si="5"/>
        <v>0</v>
      </c>
      <c r="AN14" s="200"/>
      <c r="AO14" s="200"/>
      <c r="AP14" s="200"/>
      <c r="AQ14" s="201">
        <f t="shared" si="6"/>
        <v>0</v>
      </c>
      <c r="AR14" s="7"/>
      <c r="AS14" s="90" cm="1">
        <f t="array" ref="AS14">SUMPRODUCT(--(ISNUMBER(MATCH($C14:$AG14, Tagschichten, 0))) * (C$9:AG$9="FT"))</f>
        <v>0</v>
      </c>
      <c r="AT14" s="68" cm="1">
        <f t="array" ref="AT14">SUMPRODUCT(--(ISNUMBER(MATCH($C14:$AG14, Nachtschichten, 0))) * (C$9:AG$9="FT"))</f>
        <v>0</v>
      </c>
      <c r="AU14" s="91" cm="1">
        <f t="array" ref="AU14">SUMPRODUCT(--(ISNUMBER(MATCH($C14:$AG14, Tagschichten, 0))) * (C$9:AG$9&lt;&gt;"FT") * (C$8:AG$8=7))</f>
        <v>0</v>
      </c>
      <c r="AV14" s="95" cm="1">
        <f t="array" ref="AV14">SUMPRODUCT(--(ISNUMBER(MATCH($C14:$AG14, Nachtschichten, 0))) * (C$8:AG$8&gt;=6))</f>
        <v>0</v>
      </c>
      <c r="AW14" s="92" cm="1">
        <f t="array" ref="AW14">SUMPRODUCT(
    --(ISNUMBER(MATCH(C14:AF14, Nachtschichten, 0))) *
    ISNUMBER(MATCH(
        IF(D$6:AG$6="", C$6:AF$6+1, D$6:AG$6),
        Einstellungen!$B$8:$B$22, 0))
)+
IF(AND(
    NOT(ISBLANK(AG$6)),
    ISNUMBER(MATCH(AG14, Nachtschichten, 0)),
    ISNUMBER(MATCH(AG$6+1, Einstellungen!$B$8:$B$22, 0))
),
1, 0)+
IF(AND(
    ISNUMBER(MATCH(AG14, Nachtschichten, 0)),
    $C$95=12),
1, 0)</f>
        <v>0</v>
      </c>
    </row>
    <row r="15" spans="1:65" s="5" customFormat="1" ht="30" customHeight="1" x14ac:dyDescent="0.35">
      <c r="A15" s="106" t="str">
        <f>IF(B15="","",VLOOKUP(B15,Einstellungen!$E$9:$F$99,2,FALSE))</f>
        <v/>
      </c>
      <c r="B15" s="233"/>
      <c r="C15" s="23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2"/>
      <c r="AH15" s="150" cm="1">
        <f t="array" ref="AH15">SUMPRODUCT(ISNUMBER(MATCH($C15:$AG15, Tagschichten, 0)) * 1)</f>
        <v>0</v>
      </c>
      <c r="AI15" s="151" cm="1">
        <f t="array" ref="AI15">SUMPRODUCT(ISNUMBER(MATCH($C15:$AG15, Nachtschichten, 0)) * 1)</f>
        <v>0</v>
      </c>
      <c r="AJ15" s="157">
        <f t="shared" si="7"/>
        <v>0</v>
      </c>
      <c r="AK15" s="197">
        <f t="shared" si="3"/>
        <v>0</v>
      </c>
      <c r="AL15" s="198">
        <f t="shared" si="4"/>
        <v>0</v>
      </c>
      <c r="AM15" s="199">
        <f t="shared" si="5"/>
        <v>0</v>
      </c>
      <c r="AN15" s="200"/>
      <c r="AO15" s="200"/>
      <c r="AP15" s="200"/>
      <c r="AQ15" s="201">
        <f t="shared" si="6"/>
        <v>0</v>
      </c>
      <c r="AR15" s="7"/>
      <c r="AS15" s="90" cm="1">
        <f t="array" ref="AS15">SUMPRODUCT(--(ISNUMBER(MATCH($C15:$AG15, Tagschichten, 0))) * (C$9:AG$9="FT"))</f>
        <v>0</v>
      </c>
      <c r="AT15" s="68" cm="1">
        <f t="array" ref="AT15">SUMPRODUCT(--(ISNUMBER(MATCH($C15:$AG15, Nachtschichten, 0))) * (C$9:AG$9="FT"))</f>
        <v>0</v>
      </c>
      <c r="AU15" s="91" cm="1">
        <f t="array" ref="AU15">SUMPRODUCT(--(ISNUMBER(MATCH($C15:$AG15, Tagschichten, 0))) * (C$9:AG$9&lt;&gt;"FT") * (C$8:AG$8=7))</f>
        <v>0</v>
      </c>
      <c r="AV15" s="95" cm="1">
        <f t="array" ref="AV15">SUMPRODUCT(--(ISNUMBER(MATCH($C15:$AG15, Nachtschichten, 0))) * (C$8:AG$8&gt;=6))</f>
        <v>0</v>
      </c>
      <c r="AW15" s="92" cm="1">
        <f t="array" ref="AW15">SUMPRODUCT(
    --(ISNUMBER(MATCH(C15:AF15, Nachtschichten, 0))) *
    ISNUMBER(MATCH(
        IF(D$6:AG$6="", C$6:AF$6+1, D$6:AG$6),
        Einstellungen!$B$8:$B$22, 0))
)+
IF(AND(
    NOT(ISBLANK(AG$6)),
    ISNUMBER(MATCH(AG15, Nachtschichten, 0)),
    ISNUMBER(MATCH(AG$6+1, Einstellungen!$B$8:$B$22, 0))
),
1, 0)+
IF(AND(
    ISNUMBER(MATCH(AG15, Nachtschichten, 0)),
    $C$95=12),
1, 0)</f>
        <v>0</v>
      </c>
    </row>
    <row r="16" spans="1:65" s="5" customFormat="1" ht="30" customHeight="1" x14ac:dyDescent="0.35">
      <c r="A16" s="106" t="str">
        <f>IF(B16="","",VLOOKUP(B16,Einstellungen!$E$9:$F$99,2,FALSE))</f>
        <v/>
      </c>
      <c r="B16" s="233"/>
      <c r="C16" s="23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2"/>
      <c r="AH16" s="150" cm="1">
        <f t="array" ref="AH16">SUMPRODUCT(ISNUMBER(MATCH($C16:$AG16, Tagschichten, 0)) * 1)</f>
        <v>0</v>
      </c>
      <c r="AI16" s="151" cm="1">
        <f t="array" ref="AI16">SUMPRODUCT(ISNUMBER(MATCH($C16:$AG16, Nachtschichten, 0)) * 1)</f>
        <v>0</v>
      </c>
      <c r="AJ16" s="157">
        <f t="shared" si="7"/>
        <v>0</v>
      </c>
      <c r="AK16" s="197">
        <f t="shared" si="3"/>
        <v>0</v>
      </c>
      <c r="AL16" s="198">
        <f t="shared" si="4"/>
        <v>0</v>
      </c>
      <c r="AM16" s="199">
        <f t="shared" si="5"/>
        <v>0</v>
      </c>
      <c r="AN16" s="200"/>
      <c r="AO16" s="200"/>
      <c r="AP16" s="200"/>
      <c r="AQ16" s="201">
        <f t="shared" si="6"/>
        <v>0</v>
      </c>
      <c r="AR16" s="7"/>
      <c r="AS16" s="90" cm="1">
        <f t="array" ref="AS16">SUMPRODUCT(--(ISNUMBER(MATCH($C16:$AG16, Tagschichten, 0))) * (C$9:AG$9="FT"))</f>
        <v>0</v>
      </c>
      <c r="AT16" s="68" cm="1">
        <f t="array" ref="AT16">SUMPRODUCT(--(ISNUMBER(MATCH($C16:$AG16, Nachtschichten, 0))) * (C$9:AG$9="FT"))</f>
        <v>0</v>
      </c>
      <c r="AU16" s="91" cm="1">
        <f t="array" ref="AU16">SUMPRODUCT(--(ISNUMBER(MATCH($C16:$AG16, Tagschichten, 0))) * (C$9:AG$9&lt;&gt;"FT") * (C$8:AG$8=7))</f>
        <v>0</v>
      </c>
      <c r="AV16" s="95" cm="1">
        <f t="array" ref="AV16">SUMPRODUCT(--(ISNUMBER(MATCH($C16:$AG16, Nachtschichten, 0))) * (C$8:AG$8&gt;=6))</f>
        <v>0</v>
      </c>
      <c r="AW16" s="92" cm="1">
        <f t="array" ref="AW16">SUMPRODUCT(
    --(ISNUMBER(MATCH(C16:AF16, Nachtschichten, 0))) *
    ISNUMBER(MATCH(
        IF(D$6:AG$6="", C$6:AF$6+1, D$6:AG$6),
        Einstellungen!$B$8:$B$22, 0))
)+
IF(AND(
    NOT(ISBLANK(AG$6)),
    ISNUMBER(MATCH(AG16, Nachtschichten, 0)),
    ISNUMBER(MATCH(AG$6+1, Einstellungen!$B$8:$B$22, 0))
),
1, 0)+
IF(AND(
    ISNUMBER(MATCH(AG16, Nachtschichten, 0)),
    $C$95=12),
1, 0)</f>
        <v>0</v>
      </c>
    </row>
    <row r="17" spans="1:49" s="5" customFormat="1" ht="30" customHeight="1" x14ac:dyDescent="0.35">
      <c r="A17" s="106" t="str">
        <f>IF(B17="","",VLOOKUP(B17,Einstellungen!$E$9:$F$99,2,FALSE))</f>
        <v/>
      </c>
      <c r="B17" s="233"/>
      <c r="C17" s="23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2"/>
      <c r="AH17" s="150" cm="1">
        <f t="array" ref="AH17">SUMPRODUCT(ISNUMBER(MATCH($C17:$AG17, Tagschichten, 0)) * 1)</f>
        <v>0</v>
      </c>
      <c r="AI17" s="151" cm="1">
        <f t="array" ref="AI17">SUMPRODUCT(ISNUMBER(MATCH($C17:$AG17, Nachtschichten, 0)) * 1)</f>
        <v>0</v>
      </c>
      <c r="AJ17" s="157">
        <f t="shared" si="7"/>
        <v>0</v>
      </c>
      <c r="AK17" s="197">
        <f t="shared" si="3"/>
        <v>0</v>
      </c>
      <c r="AL17" s="198">
        <f t="shared" si="4"/>
        <v>0</v>
      </c>
      <c r="AM17" s="199">
        <f t="shared" si="5"/>
        <v>0</v>
      </c>
      <c r="AN17" s="200"/>
      <c r="AO17" s="200"/>
      <c r="AP17" s="200"/>
      <c r="AQ17" s="201">
        <f t="shared" si="6"/>
        <v>0</v>
      </c>
      <c r="AR17" s="7"/>
      <c r="AS17" s="90" cm="1">
        <f t="array" ref="AS17">SUMPRODUCT(--(ISNUMBER(MATCH($C17:$AG17, Tagschichten, 0))) * (C$9:AG$9="FT"))</f>
        <v>0</v>
      </c>
      <c r="AT17" s="68" cm="1">
        <f t="array" ref="AT17">SUMPRODUCT(--(ISNUMBER(MATCH($C17:$AG17, Nachtschichten, 0))) * (C$9:AG$9="FT"))</f>
        <v>0</v>
      </c>
      <c r="AU17" s="91" cm="1">
        <f t="array" ref="AU17">SUMPRODUCT(--(ISNUMBER(MATCH($C17:$AG17, Tagschichten, 0))) * (C$9:AG$9&lt;&gt;"FT") * (C$8:AG$8=7))</f>
        <v>0</v>
      </c>
      <c r="AV17" s="95" cm="1">
        <f t="array" ref="AV17">SUMPRODUCT(--(ISNUMBER(MATCH($C17:$AG17, Nachtschichten, 0))) * (C$8:AG$8&gt;=6))</f>
        <v>0</v>
      </c>
      <c r="AW17" s="92" cm="1">
        <f t="array" ref="AW17">SUMPRODUCT(
    --(ISNUMBER(MATCH(C17:AF17, Nachtschichten, 0))) *
    ISNUMBER(MATCH(
        IF(D$6:AG$6="", C$6:AF$6+1, D$6:AG$6),
        Einstellungen!$B$8:$B$22, 0))
)+
IF(AND(
    NOT(ISBLANK(AG$6)),
    ISNUMBER(MATCH(AG17, Nachtschichten, 0)),
    ISNUMBER(MATCH(AG$6+1, Einstellungen!$B$8:$B$22, 0))
),
1, 0)+
IF(AND(
    ISNUMBER(MATCH(AG17, Nachtschichten, 0)),
    $C$95=12),
1, 0)</f>
        <v>0</v>
      </c>
    </row>
    <row r="18" spans="1:49" s="5" customFormat="1" ht="30" customHeight="1" x14ac:dyDescent="0.35">
      <c r="A18" s="106" t="str">
        <f>IF(B18="","",VLOOKUP(B18,Einstellungen!$E$9:$F$99,2,FALSE))</f>
        <v/>
      </c>
      <c r="B18" s="233"/>
      <c r="C18" s="23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2"/>
      <c r="AH18" s="150" cm="1">
        <f t="array" ref="AH18">SUMPRODUCT(ISNUMBER(MATCH($C18:$AG18, Tagschichten, 0)) * 1)</f>
        <v>0</v>
      </c>
      <c r="AI18" s="151" cm="1">
        <f t="array" ref="AI18">SUMPRODUCT(ISNUMBER(MATCH($C18:$AG18, Nachtschichten, 0)) * 1)</f>
        <v>0</v>
      </c>
      <c r="AJ18" s="157">
        <f t="shared" si="7"/>
        <v>0</v>
      </c>
      <c r="AK18" s="197">
        <f t="shared" si="3"/>
        <v>0</v>
      </c>
      <c r="AL18" s="198">
        <f t="shared" si="4"/>
        <v>0</v>
      </c>
      <c r="AM18" s="199">
        <f t="shared" si="5"/>
        <v>0</v>
      </c>
      <c r="AN18" s="200"/>
      <c r="AO18" s="200"/>
      <c r="AP18" s="200"/>
      <c r="AQ18" s="201">
        <f t="shared" si="6"/>
        <v>0</v>
      </c>
      <c r="AR18" s="7"/>
      <c r="AS18" s="90" cm="1">
        <f t="array" ref="AS18">SUMPRODUCT(--(ISNUMBER(MATCH($C18:$AG18, Tagschichten, 0))) * (C$9:AG$9="FT"))</f>
        <v>0</v>
      </c>
      <c r="AT18" s="68" cm="1">
        <f t="array" ref="AT18">SUMPRODUCT(--(ISNUMBER(MATCH($C18:$AG18, Nachtschichten, 0))) * (C$9:AG$9="FT"))</f>
        <v>0</v>
      </c>
      <c r="AU18" s="91" cm="1">
        <f t="array" ref="AU18">SUMPRODUCT(--(ISNUMBER(MATCH($C18:$AG18, Tagschichten, 0))) * (C$9:AG$9&lt;&gt;"FT") * (C$8:AG$8=7))</f>
        <v>0</v>
      </c>
      <c r="AV18" s="95" cm="1">
        <f t="array" ref="AV18">SUMPRODUCT(--(ISNUMBER(MATCH($C18:$AG18, Nachtschichten, 0))) * (C$8:AG$8&gt;=6))</f>
        <v>0</v>
      </c>
      <c r="AW18" s="92" cm="1">
        <f t="array" ref="AW18">SUMPRODUCT(
    --(ISNUMBER(MATCH(C18:AF18, Nachtschichten, 0))) *
    ISNUMBER(MATCH(
        IF(D$6:AG$6="", C$6:AF$6+1, D$6:AG$6),
        Einstellungen!$B$8:$B$22, 0))
)+
IF(AND(
    NOT(ISBLANK(AG$6)),
    ISNUMBER(MATCH(AG18, Nachtschichten, 0)),
    ISNUMBER(MATCH(AG$6+1, Einstellungen!$B$8:$B$22, 0))
),
1, 0)+
IF(AND(
    ISNUMBER(MATCH(AG18, Nachtschichten, 0)),
    $C$95=12),
1, 0)</f>
        <v>0</v>
      </c>
    </row>
    <row r="19" spans="1:49" s="5" customFormat="1" ht="30" customHeight="1" x14ac:dyDescent="0.35">
      <c r="A19" s="106" t="str">
        <f>IF(B19="","",VLOOKUP(B19,Einstellungen!$E$9:$F$99,2,FALSE))</f>
        <v/>
      </c>
      <c r="B19" s="233"/>
      <c r="C19" s="23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2"/>
      <c r="AH19" s="150" cm="1">
        <f t="array" ref="AH19">SUMPRODUCT(ISNUMBER(MATCH($C19:$AG19, Tagschichten, 0)) * 1)</f>
        <v>0</v>
      </c>
      <c r="AI19" s="151" cm="1">
        <f t="array" ref="AI19">SUMPRODUCT(ISNUMBER(MATCH($C19:$AG19, Nachtschichten, 0)) * 1)</f>
        <v>0</v>
      </c>
      <c r="AJ19" s="157">
        <f t="shared" si="7"/>
        <v>0</v>
      </c>
      <c r="AK19" s="197">
        <f t="shared" si="3"/>
        <v>0</v>
      </c>
      <c r="AL19" s="198">
        <f t="shared" si="4"/>
        <v>0</v>
      </c>
      <c r="AM19" s="199">
        <f t="shared" si="5"/>
        <v>0</v>
      </c>
      <c r="AN19" s="200"/>
      <c r="AO19" s="200"/>
      <c r="AP19" s="200"/>
      <c r="AQ19" s="201">
        <f t="shared" si="6"/>
        <v>0</v>
      </c>
      <c r="AR19" s="7"/>
      <c r="AS19" s="90" cm="1">
        <f t="array" ref="AS19">SUMPRODUCT(--(ISNUMBER(MATCH($C19:$AG19, Tagschichten, 0))) * (C$9:AG$9="FT"))</f>
        <v>0</v>
      </c>
      <c r="AT19" s="68" cm="1">
        <f t="array" ref="AT19">SUMPRODUCT(--(ISNUMBER(MATCH($C19:$AG19, Nachtschichten, 0))) * (C$9:AG$9="FT"))</f>
        <v>0</v>
      </c>
      <c r="AU19" s="91" cm="1">
        <f t="array" ref="AU19">SUMPRODUCT(--(ISNUMBER(MATCH($C19:$AG19, Tagschichten, 0))) * (C$9:AG$9&lt;&gt;"FT") * (C$8:AG$8=7))</f>
        <v>0</v>
      </c>
      <c r="AV19" s="95" cm="1">
        <f t="array" ref="AV19">SUMPRODUCT(--(ISNUMBER(MATCH($C19:$AG19, Nachtschichten, 0))) * (C$8:AG$8&gt;=6))</f>
        <v>0</v>
      </c>
      <c r="AW19" s="92" cm="1">
        <f t="array" ref="AW19">SUMPRODUCT(
    --(ISNUMBER(MATCH(C19:AF19, Nachtschichten, 0))) *
    ISNUMBER(MATCH(
        IF(D$6:AG$6="", C$6:AF$6+1, D$6:AG$6),
        Einstellungen!$B$8:$B$22, 0))
)+
IF(AND(
    NOT(ISBLANK(AG$6)),
    ISNUMBER(MATCH(AG19, Nachtschichten, 0)),
    ISNUMBER(MATCH(AG$6+1, Einstellungen!$B$8:$B$22, 0))
),
1, 0)+
IF(AND(
    ISNUMBER(MATCH(AG19, Nachtschichten, 0)),
    $C$95=12),
1, 0)</f>
        <v>0</v>
      </c>
    </row>
    <row r="20" spans="1:49" s="5" customFormat="1" ht="30" customHeight="1" x14ac:dyDescent="0.35">
      <c r="A20" s="106" t="str">
        <f>IF(B20="","",VLOOKUP(B20,Einstellungen!$E$9:$F$99,2,FALSE))</f>
        <v/>
      </c>
      <c r="B20" s="233"/>
      <c r="C20" s="23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2"/>
      <c r="AH20" s="150" cm="1">
        <f t="array" ref="AH20">SUMPRODUCT(ISNUMBER(MATCH($C20:$AG20, Tagschichten, 0)) * 1)</f>
        <v>0</v>
      </c>
      <c r="AI20" s="151" cm="1">
        <f t="array" ref="AI20">SUMPRODUCT(ISNUMBER(MATCH($C20:$AG20, Nachtschichten, 0)) * 1)</f>
        <v>0</v>
      </c>
      <c r="AJ20" s="157">
        <f t="shared" si="7"/>
        <v>0</v>
      </c>
      <c r="AK20" s="197">
        <f t="shared" si="3"/>
        <v>0</v>
      </c>
      <c r="AL20" s="198">
        <f t="shared" si="4"/>
        <v>0</v>
      </c>
      <c r="AM20" s="199">
        <f t="shared" si="5"/>
        <v>0</v>
      </c>
      <c r="AN20" s="200"/>
      <c r="AO20" s="200"/>
      <c r="AP20" s="200"/>
      <c r="AQ20" s="201">
        <f t="shared" si="6"/>
        <v>0</v>
      </c>
      <c r="AR20" s="7"/>
      <c r="AS20" s="90" cm="1">
        <f t="array" ref="AS20">SUMPRODUCT(--(ISNUMBER(MATCH($C20:$AG20, Tagschichten, 0))) * (C$9:AG$9="FT"))</f>
        <v>0</v>
      </c>
      <c r="AT20" s="68" cm="1">
        <f t="array" ref="AT20">SUMPRODUCT(--(ISNUMBER(MATCH($C20:$AG20, Nachtschichten, 0))) * (C$9:AG$9="FT"))</f>
        <v>0</v>
      </c>
      <c r="AU20" s="91" cm="1">
        <f t="array" ref="AU20">SUMPRODUCT(--(ISNUMBER(MATCH($C20:$AG20, Tagschichten, 0))) * (C$9:AG$9&lt;&gt;"FT") * (C$8:AG$8=7))</f>
        <v>0</v>
      </c>
      <c r="AV20" s="95" cm="1">
        <f t="array" ref="AV20">SUMPRODUCT(--(ISNUMBER(MATCH($C20:$AG20, Nachtschichten, 0))) * (C$8:AG$8&gt;=6))</f>
        <v>0</v>
      </c>
      <c r="AW20" s="92" cm="1">
        <f t="array" ref="AW20">SUMPRODUCT(
    --(ISNUMBER(MATCH(C20:AF20, Nachtschichten, 0))) *
    ISNUMBER(MATCH(
        IF(D$6:AG$6="", C$6:AF$6+1, D$6:AG$6),
        Einstellungen!$B$8:$B$22, 0))
)+
IF(AND(
    NOT(ISBLANK(AG$6)),
    ISNUMBER(MATCH(AG20, Nachtschichten, 0)),
    ISNUMBER(MATCH(AG$6+1, Einstellungen!$B$8:$B$22, 0))
),
1, 0)+
IF(AND(
    ISNUMBER(MATCH(AG20, Nachtschichten, 0)),
    $C$95=12),
1, 0)</f>
        <v>0</v>
      </c>
    </row>
    <row r="21" spans="1:49" s="5" customFormat="1" ht="30" customHeight="1" x14ac:dyDescent="0.35">
      <c r="A21" s="106" t="str">
        <f>IF(B21="","",VLOOKUP(B21,Einstellungen!$E$9:$F$99,2,FALSE))</f>
        <v/>
      </c>
      <c r="B21" s="233"/>
      <c r="C21" s="23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2"/>
      <c r="AH21" s="150" cm="1">
        <f t="array" ref="AH21">SUMPRODUCT(ISNUMBER(MATCH($C21:$AG21, Tagschichten, 0)) * 1)</f>
        <v>0</v>
      </c>
      <c r="AI21" s="151" cm="1">
        <f t="array" ref="AI21">SUMPRODUCT(ISNUMBER(MATCH($C21:$AG21, Nachtschichten, 0)) * 1)</f>
        <v>0</v>
      </c>
      <c r="AJ21" s="157">
        <f t="shared" si="7"/>
        <v>0</v>
      </c>
      <c r="AK21" s="197">
        <f t="shared" si="3"/>
        <v>0</v>
      </c>
      <c r="AL21" s="198">
        <f t="shared" si="4"/>
        <v>0</v>
      </c>
      <c r="AM21" s="199">
        <f t="shared" si="5"/>
        <v>0</v>
      </c>
      <c r="AN21" s="200"/>
      <c r="AO21" s="200"/>
      <c r="AP21" s="200"/>
      <c r="AQ21" s="201">
        <f t="shared" si="6"/>
        <v>0</v>
      </c>
      <c r="AR21" s="7"/>
      <c r="AS21" s="90" cm="1">
        <f t="array" ref="AS21">SUMPRODUCT(--(ISNUMBER(MATCH($C21:$AG21, Tagschichten, 0))) * (C$9:AG$9="FT"))</f>
        <v>0</v>
      </c>
      <c r="AT21" s="68" cm="1">
        <f t="array" ref="AT21">SUMPRODUCT(--(ISNUMBER(MATCH($C21:$AG21, Nachtschichten, 0))) * (C$9:AG$9="FT"))</f>
        <v>0</v>
      </c>
      <c r="AU21" s="91" cm="1">
        <f t="array" ref="AU21">SUMPRODUCT(--(ISNUMBER(MATCH($C21:$AG21, Tagschichten, 0))) * (C$9:AG$9&lt;&gt;"FT") * (C$8:AG$8=7))</f>
        <v>0</v>
      </c>
      <c r="AV21" s="95" cm="1">
        <f t="array" ref="AV21">SUMPRODUCT(--(ISNUMBER(MATCH($C21:$AG21, Nachtschichten, 0))) * (C$8:AG$8&gt;=6))</f>
        <v>0</v>
      </c>
      <c r="AW21" s="92" cm="1">
        <f t="array" ref="AW21">SUMPRODUCT(
    --(ISNUMBER(MATCH(C21:AF21, Nachtschichten, 0))) *
    ISNUMBER(MATCH(
        IF(D$6:AG$6="", C$6:AF$6+1, D$6:AG$6),
        Einstellungen!$B$8:$B$22, 0))
)+
IF(AND(
    NOT(ISBLANK(AG$6)),
    ISNUMBER(MATCH(AG21, Nachtschichten, 0)),
    ISNUMBER(MATCH(AG$6+1, Einstellungen!$B$8:$B$22, 0))
),
1, 0)+
IF(AND(
    ISNUMBER(MATCH(AG21, Nachtschichten, 0)),
    $C$95=12),
1, 0)</f>
        <v>0</v>
      </c>
    </row>
    <row r="22" spans="1:49" s="5" customFormat="1" ht="30" customHeight="1" x14ac:dyDescent="0.35">
      <c r="A22" s="106" t="str">
        <f>IF(B22="","",VLOOKUP(B22,Einstellungen!$E$9:$F$99,2,FALSE))</f>
        <v/>
      </c>
      <c r="B22" s="233"/>
      <c r="C22" s="23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2"/>
      <c r="AH22" s="150" cm="1">
        <f t="array" ref="AH22">SUMPRODUCT(ISNUMBER(MATCH($C22:$AG22, Tagschichten, 0)) * 1)</f>
        <v>0</v>
      </c>
      <c r="AI22" s="151" cm="1">
        <f t="array" ref="AI22">SUMPRODUCT(ISNUMBER(MATCH($C22:$AG22, Nachtschichten, 0)) * 1)</f>
        <v>0</v>
      </c>
      <c r="AJ22" s="157">
        <f t="shared" si="7"/>
        <v>0</v>
      </c>
      <c r="AK22" s="197">
        <f t="shared" si="3"/>
        <v>0</v>
      </c>
      <c r="AL22" s="198">
        <f t="shared" si="4"/>
        <v>0</v>
      </c>
      <c r="AM22" s="199">
        <f t="shared" si="5"/>
        <v>0</v>
      </c>
      <c r="AN22" s="200"/>
      <c r="AO22" s="200"/>
      <c r="AP22" s="200"/>
      <c r="AQ22" s="201">
        <f t="shared" si="6"/>
        <v>0</v>
      </c>
      <c r="AR22" s="7"/>
      <c r="AS22" s="90" cm="1">
        <f t="array" ref="AS22">SUMPRODUCT(--(ISNUMBER(MATCH($C22:$AG22, Tagschichten, 0))) * (C$9:AG$9="FT"))</f>
        <v>0</v>
      </c>
      <c r="AT22" s="68" cm="1">
        <f t="array" ref="AT22">SUMPRODUCT(--(ISNUMBER(MATCH($C22:$AG22, Nachtschichten, 0))) * (C$9:AG$9="FT"))</f>
        <v>0</v>
      </c>
      <c r="AU22" s="91" cm="1">
        <f t="array" ref="AU22">SUMPRODUCT(--(ISNUMBER(MATCH($C22:$AG22, Tagschichten, 0))) * (C$9:AG$9&lt;&gt;"FT") * (C$8:AG$8=7))</f>
        <v>0</v>
      </c>
      <c r="AV22" s="95" cm="1">
        <f t="array" ref="AV22">SUMPRODUCT(--(ISNUMBER(MATCH($C22:$AG22, Nachtschichten, 0))) * (C$8:AG$8&gt;=6))</f>
        <v>0</v>
      </c>
      <c r="AW22" s="92" cm="1">
        <f t="array" ref="AW22">SUMPRODUCT(
    --(ISNUMBER(MATCH(C22:AF22, Nachtschichten, 0))) *
    ISNUMBER(MATCH(
        IF(D$6:AG$6="", C$6:AF$6+1, D$6:AG$6),
        Einstellungen!$B$8:$B$22, 0))
)+
IF(AND(
    NOT(ISBLANK(AG$6)),
    ISNUMBER(MATCH(AG22, Nachtschichten, 0)),
    ISNUMBER(MATCH(AG$6+1, Einstellungen!$B$8:$B$22, 0))
),
1, 0)+
IF(AND(
    ISNUMBER(MATCH(AG22, Nachtschichten, 0)),
    $C$95=12),
1, 0)</f>
        <v>0</v>
      </c>
    </row>
    <row r="23" spans="1:49" s="5" customFormat="1" ht="30" customHeight="1" x14ac:dyDescent="0.35">
      <c r="A23" s="106" t="str">
        <f>IF(B23="","",VLOOKUP(B23,Einstellungen!$E$9:$F$99,2,FALSE))</f>
        <v/>
      </c>
      <c r="B23" s="233"/>
      <c r="C23" s="23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2"/>
      <c r="AH23" s="150" cm="1">
        <f t="array" ref="AH23">SUMPRODUCT(ISNUMBER(MATCH($C23:$AG23, Tagschichten, 0)) * 1)</f>
        <v>0</v>
      </c>
      <c r="AI23" s="151" cm="1">
        <f t="array" ref="AI23">SUMPRODUCT(ISNUMBER(MATCH($C23:$AG23, Nachtschichten, 0)) * 1)</f>
        <v>0</v>
      </c>
      <c r="AJ23" s="157">
        <f t="shared" si="7"/>
        <v>0</v>
      </c>
      <c r="AK23" s="197">
        <f t="shared" si="3"/>
        <v>0</v>
      </c>
      <c r="AL23" s="198">
        <f t="shared" si="4"/>
        <v>0</v>
      </c>
      <c r="AM23" s="199">
        <f t="shared" si="5"/>
        <v>0</v>
      </c>
      <c r="AN23" s="200"/>
      <c r="AO23" s="200"/>
      <c r="AP23" s="200"/>
      <c r="AQ23" s="201">
        <f t="shared" si="6"/>
        <v>0</v>
      </c>
      <c r="AR23" s="7"/>
      <c r="AS23" s="90" cm="1">
        <f t="array" ref="AS23">SUMPRODUCT(--(ISNUMBER(MATCH($C23:$AG23, Tagschichten, 0))) * (C$9:AG$9="FT"))</f>
        <v>0</v>
      </c>
      <c r="AT23" s="68" cm="1">
        <f t="array" ref="AT23">SUMPRODUCT(--(ISNUMBER(MATCH($C23:$AG23, Nachtschichten, 0))) * (C$9:AG$9="FT"))</f>
        <v>0</v>
      </c>
      <c r="AU23" s="91" cm="1">
        <f t="array" ref="AU23">SUMPRODUCT(--(ISNUMBER(MATCH($C23:$AG23, Tagschichten, 0))) * (C$9:AG$9&lt;&gt;"FT") * (C$8:AG$8=7))</f>
        <v>0</v>
      </c>
      <c r="AV23" s="95" cm="1">
        <f t="array" ref="AV23">SUMPRODUCT(--(ISNUMBER(MATCH($C23:$AG23, Nachtschichten, 0))) * (C$8:AG$8&gt;=6))</f>
        <v>0</v>
      </c>
      <c r="AW23" s="92" cm="1">
        <f t="array" ref="AW23">SUMPRODUCT(
    --(ISNUMBER(MATCH(C23:AF23, Nachtschichten, 0))) *
    ISNUMBER(MATCH(
        IF(D$6:AG$6="", C$6:AF$6+1, D$6:AG$6),
        Einstellungen!$B$8:$B$22, 0))
)+
IF(AND(
    NOT(ISBLANK(AG$6)),
    ISNUMBER(MATCH(AG23, Nachtschichten, 0)),
    ISNUMBER(MATCH(AG$6+1, Einstellungen!$B$8:$B$22, 0))
),
1, 0)+
IF(AND(
    ISNUMBER(MATCH(AG23, Nachtschichten, 0)),
    $C$95=12),
1, 0)</f>
        <v>0</v>
      </c>
    </row>
    <row r="24" spans="1:49" s="5" customFormat="1" ht="30" customHeight="1" x14ac:dyDescent="0.35">
      <c r="A24" s="106" t="str">
        <f>IF(B24="","",VLOOKUP(B24,Einstellungen!$E$9:$F$99,2,FALSE))</f>
        <v/>
      </c>
      <c r="B24" s="233"/>
      <c r="C24" s="23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2"/>
      <c r="AH24" s="150" cm="1">
        <f t="array" ref="AH24">SUMPRODUCT(ISNUMBER(MATCH($C24:$AG24, Tagschichten, 0)) * 1)</f>
        <v>0</v>
      </c>
      <c r="AI24" s="151" cm="1">
        <f t="array" ref="AI24">SUMPRODUCT(ISNUMBER(MATCH($C24:$AG24, Nachtschichten, 0)) * 1)</f>
        <v>0</v>
      </c>
      <c r="AJ24" s="157">
        <f t="shared" si="7"/>
        <v>0</v>
      </c>
      <c r="AK24" s="197">
        <f t="shared" si="3"/>
        <v>0</v>
      </c>
      <c r="AL24" s="198">
        <f t="shared" si="4"/>
        <v>0</v>
      </c>
      <c r="AM24" s="199">
        <f t="shared" si="5"/>
        <v>0</v>
      </c>
      <c r="AN24" s="200"/>
      <c r="AO24" s="200"/>
      <c r="AP24" s="200"/>
      <c r="AQ24" s="201">
        <f t="shared" si="6"/>
        <v>0</v>
      </c>
      <c r="AR24" s="7"/>
      <c r="AS24" s="90" cm="1">
        <f t="array" ref="AS24">SUMPRODUCT(--(ISNUMBER(MATCH($C24:$AG24, Tagschichten, 0))) * (C$9:AG$9="FT"))</f>
        <v>0</v>
      </c>
      <c r="AT24" s="68" cm="1">
        <f t="array" ref="AT24">SUMPRODUCT(--(ISNUMBER(MATCH($C24:$AG24, Nachtschichten, 0))) * (C$9:AG$9="FT"))</f>
        <v>0</v>
      </c>
      <c r="AU24" s="91" cm="1">
        <f t="array" ref="AU24">SUMPRODUCT(--(ISNUMBER(MATCH($C24:$AG24, Tagschichten, 0))) * (C$9:AG$9&lt;&gt;"FT") * (C$8:AG$8=7))</f>
        <v>0</v>
      </c>
      <c r="AV24" s="95" cm="1">
        <f t="array" ref="AV24">SUMPRODUCT(--(ISNUMBER(MATCH($C24:$AG24, Nachtschichten, 0))) * (C$8:AG$8&gt;=6))</f>
        <v>0</v>
      </c>
      <c r="AW24" s="92" cm="1">
        <f t="array" ref="AW24">SUMPRODUCT(
    --(ISNUMBER(MATCH(C24:AF24, Nachtschichten, 0))) *
    ISNUMBER(MATCH(
        IF(D$6:AG$6="", C$6:AF$6+1, D$6:AG$6),
        Einstellungen!$B$8:$B$22, 0))
)+
IF(AND(
    NOT(ISBLANK(AG$6)),
    ISNUMBER(MATCH(AG24, Nachtschichten, 0)),
    ISNUMBER(MATCH(AG$6+1, Einstellungen!$B$8:$B$22, 0))
),
1, 0)+
IF(AND(
    ISNUMBER(MATCH(AG24, Nachtschichten, 0)),
    $C$95=12),
1, 0)</f>
        <v>0</v>
      </c>
    </row>
    <row r="25" spans="1:49" s="5" customFormat="1" ht="30" customHeight="1" x14ac:dyDescent="0.35">
      <c r="A25" s="106" t="str">
        <f>IF(B25="","",VLOOKUP(B25,Einstellungen!$E$9:$F$99,2,FALSE))</f>
        <v/>
      </c>
      <c r="B25" s="233"/>
      <c r="C25" s="23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2"/>
      <c r="AH25" s="150" cm="1">
        <f t="array" ref="AH25">SUMPRODUCT(ISNUMBER(MATCH($C25:$AG25, Tagschichten, 0)) * 1)</f>
        <v>0</v>
      </c>
      <c r="AI25" s="151" cm="1">
        <f t="array" ref="AI25">SUMPRODUCT(ISNUMBER(MATCH($C25:$AG25, Nachtschichten, 0)) * 1)</f>
        <v>0</v>
      </c>
      <c r="AJ25" s="157">
        <f t="shared" si="7"/>
        <v>0</v>
      </c>
      <c r="AK25" s="197">
        <f t="shared" si="3"/>
        <v>0</v>
      </c>
      <c r="AL25" s="198">
        <f t="shared" si="4"/>
        <v>0</v>
      </c>
      <c r="AM25" s="199">
        <f t="shared" si="5"/>
        <v>0</v>
      </c>
      <c r="AN25" s="200"/>
      <c r="AO25" s="200"/>
      <c r="AP25" s="200"/>
      <c r="AQ25" s="201">
        <f t="shared" si="6"/>
        <v>0</v>
      </c>
      <c r="AR25" s="7"/>
      <c r="AS25" s="90" cm="1">
        <f t="array" ref="AS25">SUMPRODUCT(--(ISNUMBER(MATCH($C25:$AG25, Tagschichten, 0))) * (C$9:AG$9="FT"))</f>
        <v>0</v>
      </c>
      <c r="AT25" s="68" cm="1">
        <f t="array" ref="AT25">SUMPRODUCT(--(ISNUMBER(MATCH($C25:$AG25, Nachtschichten, 0))) * (C$9:AG$9="FT"))</f>
        <v>0</v>
      </c>
      <c r="AU25" s="91" cm="1">
        <f t="array" ref="AU25">SUMPRODUCT(--(ISNUMBER(MATCH($C25:$AG25, Tagschichten, 0))) * (C$9:AG$9&lt;&gt;"FT") * (C$8:AG$8=7))</f>
        <v>0</v>
      </c>
      <c r="AV25" s="95" cm="1">
        <f t="array" ref="AV25">SUMPRODUCT(--(ISNUMBER(MATCH($C25:$AG25, Nachtschichten, 0))) * (C$8:AG$8&gt;=6))</f>
        <v>0</v>
      </c>
      <c r="AW25" s="92" cm="1">
        <f t="array" ref="AW25">SUMPRODUCT(
    --(ISNUMBER(MATCH(C25:AF25, Nachtschichten, 0))) *
    ISNUMBER(MATCH(
        IF(D$6:AG$6="", C$6:AF$6+1, D$6:AG$6),
        Einstellungen!$B$8:$B$22, 0))
)+
IF(AND(
    NOT(ISBLANK(AG$6)),
    ISNUMBER(MATCH(AG25, Nachtschichten, 0)),
    ISNUMBER(MATCH(AG$6+1, Einstellungen!$B$8:$B$22, 0))
),
1, 0)+
IF(AND(
    ISNUMBER(MATCH(AG25, Nachtschichten, 0)),
    $C$95=12),
1, 0)</f>
        <v>0</v>
      </c>
    </row>
    <row r="26" spans="1:49" s="5" customFormat="1" ht="30" customHeight="1" x14ac:dyDescent="0.35">
      <c r="A26" s="106" t="str">
        <f>IF(B26="","",VLOOKUP(B26,Einstellungen!$E$9:$F$99,2,FALSE))</f>
        <v/>
      </c>
      <c r="B26" s="233"/>
      <c r="C26" s="23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2"/>
      <c r="AH26" s="150" cm="1">
        <f t="array" ref="AH26">SUMPRODUCT(ISNUMBER(MATCH($C26:$AG26, Tagschichten, 0)) * 1)</f>
        <v>0</v>
      </c>
      <c r="AI26" s="151" cm="1">
        <f t="array" ref="AI26">SUMPRODUCT(ISNUMBER(MATCH($C26:$AG26, Nachtschichten, 0)) * 1)</f>
        <v>0</v>
      </c>
      <c r="AJ26" s="157">
        <f t="shared" si="7"/>
        <v>0</v>
      </c>
      <c r="AK26" s="197">
        <f t="shared" si="3"/>
        <v>0</v>
      </c>
      <c r="AL26" s="198">
        <f t="shared" si="4"/>
        <v>0</v>
      </c>
      <c r="AM26" s="199">
        <f t="shared" si="5"/>
        <v>0</v>
      </c>
      <c r="AN26" s="200"/>
      <c r="AO26" s="200"/>
      <c r="AP26" s="200"/>
      <c r="AQ26" s="201">
        <f t="shared" si="6"/>
        <v>0</v>
      </c>
      <c r="AR26" s="7"/>
      <c r="AS26" s="90" cm="1">
        <f t="array" ref="AS26">SUMPRODUCT(--(ISNUMBER(MATCH($C26:$AG26, Tagschichten, 0))) * (C$9:AG$9="FT"))</f>
        <v>0</v>
      </c>
      <c r="AT26" s="68" cm="1">
        <f t="array" ref="AT26">SUMPRODUCT(--(ISNUMBER(MATCH($C26:$AG26, Nachtschichten, 0))) * (C$9:AG$9="FT"))</f>
        <v>0</v>
      </c>
      <c r="AU26" s="91" cm="1">
        <f t="array" ref="AU26">SUMPRODUCT(--(ISNUMBER(MATCH($C26:$AG26, Tagschichten, 0))) * (C$9:AG$9&lt;&gt;"FT") * (C$8:AG$8=7))</f>
        <v>0</v>
      </c>
      <c r="AV26" s="95" cm="1">
        <f t="array" ref="AV26">SUMPRODUCT(--(ISNUMBER(MATCH($C26:$AG26, Nachtschichten, 0))) * (C$8:AG$8&gt;=6))</f>
        <v>0</v>
      </c>
      <c r="AW26" s="92" cm="1">
        <f t="array" ref="AW26">SUMPRODUCT(
    --(ISNUMBER(MATCH(C26:AF26, Nachtschichten, 0))) *
    ISNUMBER(MATCH(
        IF(D$6:AG$6="", C$6:AF$6+1, D$6:AG$6),
        Einstellungen!$B$8:$B$22, 0))
)+
IF(AND(
    NOT(ISBLANK(AG$6)),
    ISNUMBER(MATCH(AG26, Nachtschichten, 0)),
    ISNUMBER(MATCH(AG$6+1, Einstellungen!$B$8:$B$22, 0))
),
1, 0)+
IF(AND(
    ISNUMBER(MATCH(AG26, Nachtschichten, 0)),
    $C$95=12),
1, 0)</f>
        <v>0</v>
      </c>
    </row>
    <row r="27" spans="1:49" s="5" customFormat="1" ht="30" customHeight="1" x14ac:dyDescent="0.35">
      <c r="A27" s="106" t="str">
        <f>IF(B27="","",VLOOKUP(B27,Einstellungen!$E$9:$F$99,2,FALSE))</f>
        <v/>
      </c>
      <c r="B27" s="233"/>
      <c r="C27" s="23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2"/>
      <c r="AH27" s="150" cm="1">
        <f t="array" ref="AH27">SUMPRODUCT(ISNUMBER(MATCH($C27:$AG27, Tagschichten, 0)) * 1)</f>
        <v>0</v>
      </c>
      <c r="AI27" s="151" cm="1">
        <f t="array" ref="AI27">SUMPRODUCT(ISNUMBER(MATCH($C27:$AG27, Nachtschichten, 0)) * 1)</f>
        <v>0</v>
      </c>
      <c r="AJ27" s="157">
        <f t="shared" si="7"/>
        <v>0</v>
      </c>
      <c r="AK27" s="197">
        <f t="shared" si="3"/>
        <v>0</v>
      </c>
      <c r="AL27" s="198">
        <f t="shared" si="4"/>
        <v>0</v>
      </c>
      <c r="AM27" s="199">
        <f t="shared" si="5"/>
        <v>0</v>
      </c>
      <c r="AN27" s="200"/>
      <c r="AO27" s="200"/>
      <c r="AP27" s="200"/>
      <c r="AQ27" s="201">
        <f t="shared" si="6"/>
        <v>0</v>
      </c>
      <c r="AR27" s="7"/>
      <c r="AS27" s="90" cm="1">
        <f t="array" ref="AS27">SUMPRODUCT(--(ISNUMBER(MATCH($C27:$AG27, Tagschichten, 0))) * (C$9:AG$9="FT"))</f>
        <v>0</v>
      </c>
      <c r="AT27" s="68" cm="1">
        <f t="array" ref="AT27">SUMPRODUCT(--(ISNUMBER(MATCH($C27:$AG27, Nachtschichten, 0))) * (C$9:AG$9="FT"))</f>
        <v>0</v>
      </c>
      <c r="AU27" s="91" cm="1">
        <f t="array" ref="AU27">SUMPRODUCT(--(ISNUMBER(MATCH($C27:$AG27, Tagschichten, 0))) * (C$9:AG$9&lt;&gt;"FT") * (C$8:AG$8=7))</f>
        <v>0</v>
      </c>
      <c r="AV27" s="95" cm="1">
        <f t="array" ref="AV27">SUMPRODUCT(--(ISNUMBER(MATCH($C27:$AG27, Nachtschichten, 0))) * (C$8:AG$8&gt;=6))</f>
        <v>0</v>
      </c>
      <c r="AW27" s="92" cm="1">
        <f t="array" ref="AW27">SUMPRODUCT(
    --(ISNUMBER(MATCH(C27:AF27, Nachtschichten, 0))) *
    ISNUMBER(MATCH(
        IF(D$6:AG$6="", C$6:AF$6+1, D$6:AG$6),
        Einstellungen!$B$8:$B$22, 0))
)+
IF(AND(
    NOT(ISBLANK(AG$6)),
    ISNUMBER(MATCH(AG27, Nachtschichten, 0)),
    ISNUMBER(MATCH(AG$6+1, Einstellungen!$B$8:$B$22, 0))
),
1, 0)+
IF(AND(
    ISNUMBER(MATCH(AG27, Nachtschichten, 0)),
    $C$95=12),
1, 0)</f>
        <v>0</v>
      </c>
    </row>
    <row r="28" spans="1:49" s="5" customFormat="1" ht="30" customHeight="1" x14ac:dyDescent="0.35">
      <c r="A28" s="106" t="str">
        <f>IF(B28="","",VLOOKUP(B28,Einstellungen!$E$9:$F$99,2,FALSE))</f>
        <v/>
      </c>
      <c r="B28" s="233"/>
      <c r="C28" s="23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2"/>
      <c r="AH28" s="150" cm="1">
        <f t="array" ref="AH28">SUMPRODUCT(ISNUMBER(MATCH($C28:$AG28, Tagschichten, 0)) * 1)</f>
        <v>0</v>
      </c>
      <c r="AI28" s="151" cm="1">
        <f t="array" ref="AI28">SUMPRODUCT(ISNUMBER(MATCH($C28:$AG28, Nachtschichten, 0)) * 1)</f>
        <v>0</v>
      </c>
      <c r="AJ28" s="157">
        <f t="shared" si="7"/>
        <v>0</v>
      </c>
      <c r="AK28" s="197">
        <f t="shared" si="3"/>
        <v>0</v>
      </c>
      <c r="AL28" s="198">
        <f t="shared" si="4"/>
        <v>0</v>
      </c>
      <c r="AM28" s="199">
        <f t="shared" si="5"/>
        <v>0</v>
      </c>
      <c r="AN28" s="200"/>
      <c r="AO28" s="200"/>
      <c r="AP28" s="200"/>
      <c r="AQ28" s="201">
        <f t="shared" si="6"/>
        <v>0</v>
      </c>
      <c r="AR28" s="7"/>
      <c r="AS28" s="90" cm="1">
        <f t="array" ref="AS28">SUMPRODUCT(--(ISNUMBER(MATCH($C28:$AG28, Tagschichten, 0))) * (C$9:AG$9="FT"))</f>
        <v>0</v>
      </c>
      <c r="AT28" s="68" cm="1">
        <f t="array" ref="AT28">SUMPRODUCT(--(ISNUMBER(MATCH($C28:$AG28, Nachtschichten, 0))) * (C$9:AG$9="FT"))</f>
        <v>0</v>
      </c>
      <c r="AU28" s="91" cm="1">
        <f t="array" ref="AU28">SUMPRODUCT(--(ISNUMBER(MATCH($C28:$AG28, Tagschichten, 0))) * (C$9:AG$9&lt;&gt;"FT") * (C$8:AG$8=7))</f>
        <v>0</v>
      </c>
      <c r="AV28" s="95" cm="1">
        <f t="array" ref="AV28">SUMPRODUCT(--(ISNUMBER(MATCH($C28:$AG28, Nachtschichten, 0))) * (C$8:AG$8&gt;=6))</f>
        <v>0</v>
      </c>
      <c r="AW28" s="92" cm="1">
        <f t="array" ref="AW28">SUMPRODUCT(
    --(ISNUMBER(MATCH(C28:AF28, Nachtschichten, 0))) *
    ISNUMBER(MATCH(
        IF(D$6:AG$6="", C$6:AF$6+1, D$6:AG$6),
        Einstellungen!$B$8:$B$22, 0))
)+
IF(AND(
    NOT(ISBLANK(AG$6)),
    ISNUMBER(MATCH(AG28, Nachtschichten, 0)),
    ISNUMBER(MATCH(AG$6+1, Einstellungen!$B$8:$B$22, 0))
),
1, 0)+
IF(AND(
    ISNUMBER(MATCH(AG28, Nachtschichten, 0)),
    $C$95=12),
1, 0)</f>
        <v>0</v>
      </c>
    </row>
    <row r="29" spans="1:49" s="5" customFormat="1" ht="30" customHeight="1" x14ac:dyDescent="0.35">
      <c r="A29" s="106" t="str">
        <f>IF(B29="","",VLOOKUP(B29,Einstellungen!$E$9:$F$99,2,FALSE))</f>
        <v/>
      </c>
      <c r="B29" s="233"/>
      <c r="C29" s="23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2"/>
      <c r="AH29" s="150" cm="1">
        <f t="array" ref="AH29">SUMPRODUCT(ISNUMBER(MATCH($C29:$AG29, Tagschichten, 0)) * 1)</f>
        <v>0</v>
      </c>
      <c r="AI29" s="151" cm="1">
        <f t="array" ref="AI29">SUMPRODUCT(ISNUMBER(MATCH($C29:$AG29, Nachtschichten, 0)) * 1)</f>
        <v>0</v>
      </c>
      <c r="AJ29" s="157">
        <f t="shared" si="7"/>
        <v>0</v>
      </c>
      <c r="AK29" s="197">
        <f t="shared" si="3"/>
        <v>0</v>
      </c>
      <c r="AL29" s="198">
        <f t="shared" si="4"/>
        <v>0</v>
      </c>
      <c r="AM29" s="199">
        <f t="shared" si="5"/>
        <v>0</v>
      </c>
      <c r="AN29" s="200"/>
      <c r="AO29" s="200"/>
      <c r="AP29" s="200"/>
      <c r="AQ29" s="201">
        <f t="shared" si="6"/>
        <v>0</v>
      </c>
      <c r="AR29" s="7"/>
      <c r="AS29" s="90" cm="1">
        <f t="array" ref="AS29">SUMPRODUCT(--(ISNUMBER(MATCH($C29:$AG29, Tagschichten, 0))) * (C$9:AG$9="FT"))</f>
        <v>0</v>
      </c>
      <c r="AT29" s="68" cm="1">
        <f t="array" ref="AT29">SUMPRODUCT(--(ISNUMBER(MATCH($C29:$AG29, Nachtschichten, 0))) * (C$9:AG$9="FT"))</f>
        <v>0</v>
      </c>
      <c r="AU29" s="91" cm="1">
        <f t="array" ref="AU29">SUMPRODUCT(--(ISNUMBER(MATCH($C29:$AG29, Tagschichten, 0))) * (C$9:AG$9&lt;&gt;"FT") * (C$8:AG$8=7))</f>
        <v>0</v>
      </c>
      <c r="AV29" s="95" cm="1">
        <f t="array" ref="AV29">SUMPRODUCT(--(ISNUMBER(MATCH($C29:$AG29, Nachtschichten, 0))) * (C$8:AG$8&gt;=6))</f>
        <v>0</v>
      </c>
      <c r="AW29" s="92" cm="1">
        <f t="array" ref="AW29">SUMPRODUCT(
    --(ISNUMBER(MATCH(C29:AF29, Nachtschichten, 0))) *
    ISNUMBER(MATCH(
        IF(D$6:AG$6="", C$6:AF$6+1, D$6:AG$6),
        Einstellungen!$B$8:$B$22, 0))
)+
IF(AND(
    NOT(ISBLANK(AG$6)),
    ISNUMBER(MATCH(AG29, Nachtschichten, 0)),
    ISNUMBER(MATCH(AG$6+1, Einstellungen!$B$8:$B$22, 0))
),
1, 0)+
IF(AND(
    ISNUMBER(MATCH(AG29, Nachtschichten, 0)),
    $C$95=12),
1, 0)</f>
        <v>0</v>
      </c>
    </row>
    <row r="30" spans="1:49" s="5" customFormat="1" ht="30" customHeight="1" x14ac:dyDescent="0.35">
      <c r="A30" s="106" t="str">
        <f>IF(B30="","",VLOOKUP(B30,Einstellungen!$E$9:$F$99,2,FALSE))</f>
        <v/>
      </c>
      <c r="B30" s="233"/>
      <c r="C30" s="23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2"/>
      <c r="AH30" s="150" cm="1">
        <f t="array" ref="AH30">SUMPRODUCT(ISNUMBER(MATCH($C30:$AG30, Tagschichten, 0)) * 1)</f>
        <v>0</v>
      </c>
      <c r="AI30" s="151" cm="1">
        <f t="array" ref="AI30">SUMPRODUCT(ISNUMBER(MATCH($C30:$AG30, Nachtschichten, 0)) * 1)</f>
        <v>0</v>
      </c>
      <c r="AJ30" s="157">
        <f t="shared" si="7"/>
        <v>0</v>
      </c>
      <c r="AK30" s="197">
        <f t="shared" si="3"/>
        <v>0</v>
      </c>
      <c r="AL30" s="198">
        <f t="shared" si="4"/>
        <v>0</v>
      </c>
      <c r="AM30" s="199">
        <f t="shared" si="5"/>
        <v>0</v>
      </c>
      <c r="AN30" s="200"/>
      <c r="AO30" s="200"/>
      <c r="AP30" s="200"/>
      <c r="AQ30" s="201">
        <f t="shared" si="6"/>
        <v>0</v>
      </c>
      <c r="AR30" s="7"/>
      <c r="AS30" s="90" cm="1">
        <f t="array" ref="AS30">SUMPRODUCT(--(ISNUMBER(MATCH($C30:$AG30, Tagschichten, 0))) * (C$9:AG$9="FT"))</f>
        <v>0</v>
      </c>
      <c r="AT30" s="68" cm="1">
        <f t="array" ref="AT30">SUMPRODUCT(--(ISNUMBER(MATCH($C30:$AG30, Nachtschichten, 0))) * (C$9:AG$9="FT"))</f>
        <v>0</v>
      </c>
      <c r="AU30" s="91" cm="1">
        <f t="array" ref="AU30">SUMPRODUCT(--(ISNUMBER(MATCH($C30:$AG30, Tagschichten, 0))) * (C$9:AG$9&lt;&gt;"FT") * (C$8:AG$8=7))</f>
        <v>0</v>
      </c>
      <c r="AV30" s="95" cm="1">
        <f t="array" ref="AV30">SUMPRODUCT(--(ISNUMBER(MATCH($C30:$AG30, Nachtschichten, 0))) * (C$8:AG$8&gt;=6))</f>
        <v>0</v>
      </c>
      <c r="AW30" s="92" cm="1">
        <f t="array" ref="AW30">SUMPRODUCT(
    --(ISNUMBER(MATCH(C30:AF30, Nachtschichten, 0))) *
    ISNUMBER(MATCH(
        IF(D$6:AG$6="", C$6:AF$6+1, D$6:AG$6),
        Einstellungen!$B$8:$B$22, 0))
)+
IF(AND(
    NOT(ISBLANK(AG$6)),
    ISNUMBER(MATCH(AG30, Nachtschichten, 0)),
    ISNUMBER(MATCH(AG$6+1, Einstellungen!$B$8:$B$22, 0))
),
1, 0)+
IF(AND(
    ISNUMBER(MATCH(AG30, Nachtschichten, 0)),
    $C$95=12),
1, 0)</f>
        <v>0</v>
      </c>
    </row>
    <row r="31" spans="1:49" s="5" customFormat="1" ht="30" customHeight="1" x14ac:dyDescent="0.35">
      <c r="A31" s="106" t="str">
        <f>IF(B31="","",VLOOKUP(B31,Einstellungen!$E$9:$F$99,2,FALSE))</f>
        <v/>
      </c>
      <c r="B31" s="233"/>
      <c r="C31" s="23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2"/>
      <c r="AH31" s="150" cm="1">
        <f t="array" ref="AH31">SUMPRODUCT(ISNUMBER(MATCH($C31:$AG31, Tagschichten, 0)) * 1)</f>
        <v>0</v>
      </c>
      <c r="AI31" s="151" cm="1">
        <f t="array" ref="AI31">SUMPRODUCT(ISNUMBER(MATCH($C31:$AG31, Nachtschichten, 0)) * 1)</f>
        <v>0</v>
      </c>
      <c r="AJ31" s="157">
        <f t="shared" si="7"/>
        <v>0</v>
      </c>
      <c r="AK31" s="197">
        <f t="shared" si="3"/>
        <v>0</v>
      </c>
      <c r="AL31" s="198">
        <f t="shared" si="4"/>
        <v>0</v>
      </c>
      <c r="AM31" s="199">
        <f t="shared" si="5"/>
        <v>0</v>
      </c>
      <c r="AN31" s="200"/>
      <c r="AO31" s="200"/>
      <c r="AP31" s="200"/>
      <c r="AQ31" s="201">
        <f t="shared" si="6"/>
        <v>0</v>
      </c>
      <c r="AR31" s="7"/>
      <c r="AS31" s="90" cm="1">
        <f t="array" ref="AS31">SUMPRODUCT(--(ISNUMBER(MATCH($C31:$AG31, Tagschichten, 0))) * (C$9:AG$9="FT"))</f>
        <v>0</v>
      </c>
      <c r="AT31" s="68" cm="1">
        <f t="array" ref="AT31">SUMPRODUCT(--(ISNUMBER(MATCH($C31:$AG31, Nachtschichten, 0))) * (C$9:AG$9="FT"))</f>
        <v>0</v>
      </c>
      <c r="AU31" s="91" cm="1">
        <f t="array" ref="AU31">SUMPRODUCT(--(ISNUMBER(MATCH($C31:$AG31, Tagschichten, 0))) * (C$9:AG$9&lt;&gt;"FT") * (C$8:AG$8=7))</f>
        <v>0</v>
      </c>
      <c r="AV31" s="95" cm="1">
        <f t="array" ref="AV31">SUMPRODUCT(--(ISNUMBER(MATCH($C31:$AG31, Nachtschichten, 0))) * (C$8:AG$8&gt;=6))</f>
        <v>0</v>
      </c>
      <c r="AW31" s="92" cm="1">
        <f t="array" ref="AW31">SUMPRODUCT(
    --(ISNUMBER(MATCH(C31:AF31, Nachtschichten, 0))) *
    ISNUMBER(MATCH(
        IF(D$6:AG$6="", C$6:AF$6+1, D$6:AG$6),
        Einstellungen!$B$8:$B$22, 0))
)+
IF(AND(
    NOT(ISBLANK(AG$6)),
    ISNUMBER(MATCH(AG31, Nachtschichten, 0)),
    ISNUMBER(MATCH(AG$6+1, Einstellungen!$B$8:$B$22, 0))
),
1, 0)+
IF(AND(
    ISNUMBER(MATCH(AG31, Nachtschichten, 0)),
    $C$95=12),
1, 0)</f>
        <v>0</v>
      </c>
    </row>
    <row r="32" spans="1:49" s="5" customFormat="1" ht="30" customHeight="1" x14ac:dyDescent="0.35">
      <c r="A32" s="106" t="str">
        <f>IF(B32="","",VLOOKUP(B32,Einstellungen!$E$9:$F$99,2,FALSE))</f>
        <v/>
      </c>
      <c r="B32" s="233"/>
      <c r="C32" s="23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50" cm="1">
        <f t="array" ref="AH32">SUMPRODUCT(ISNUMBER(MATCH($C32:$AG32, Tagschichten, 0)) * 1)</f>
        <v>0</v>
      </c>
      <c r="AI32" s="151" cm="1">
        <f t="array" ref="AI32">SUMPRODUCT(ISNUMBER(MATCH($C32:$AG32, Nachtschichten, 0)) * 1)</f>
        <v>0</v>
      </c>
      <c r="AJ32" s="157">
        <f t="shared" si="7"/>
        <v>0</v>
      </c>
      <c r="AK32" s="197">
        <f t="shared" si="3"/>
        <v>0</v>
      </c>
      <c r="AL32" s="198">
        <f t="shared" si="4"/>
        <v>0</v>
      </c>
      <c r="AM32" s="199">
        <f t="shared" si="5"/>
        <v>0</v>
      </c>
      <c r="AN32" s="200"/>
      <c r="AO32" s="200"/>
      <c r="AP32" s="200"/>
      <c r="AQ32" s="201">
        <f t="shared" si="6"/>
        <v>0</v>
      </c>
      <c r="AR32" s="7"/>
      <c r="AS32" s="90" cm="1">
        <f t="array" ref="AS32">SUMPRODUCT(--(ISNUMBER(MATCH($C32:$AG32, Tagschichten, 0))) * (C$9:AG$9="FT"))</f>
        <v>0</v>
      </c>
      <c r="AT32" s="68" cm="1">
        <f t="array" ref="AT32">SUMPRODUCT(--(ISNUMBER(MATCH($C32:$AG32, Nachtschichten, 0))) * (C$9:AG$9="FT"))</f>
        <v>0</v>
      </c>
      <c r="AU32" s="91" cm="1">
        <f t="array" ref="AU32">SUMPRODUCT(--(ISNUMBER(MATCH($C32:$AG32, Tagschichten, 0))) * (C$9:AG$9&lt;&gt;"FT") * (C$8:AG$8=7))</f>
        <v>0</v>
      </c>
      <c r="AV32" s="95" cm="1">
        <f t="array" ref="AV32">SUMPRODUCT(--(ISNUMBER(MATCH($C32:$AG32, Nachtschichten, 0))) * (C$8:AG$8&gt;=6))</f>
        <v>0</v>
      </c>
      <c r="AW32" s="92" cm="1">
        <f t="array" ref="AW32">SUMPRODUCT(
    --(ISNUMBER(MATCH(C32:AF32, Nachtschichten, 0))) *
    ISNUMBER(MATCH(
        IF(D$6:AG$6="", C$6:AF$6+1, D$6:AG$6),
        Einstellungen!$B$8:$B$22, 0))
)+
IF(AND(
    NOT(ISBLANK(AG$6)),
    ISNUMBER(MATCH(AG32, Nachtschichten, 0)),
    ISNUMBER(MATCH(AG$6+1, Einstellungen!$B$8:$B$22, 0))
),
1, 0)+
IF(AND(
    ISNUMBER(MATCH(AG32, Nachtschichten, 0)),
    $C$95=12),
1, 0)</f>
        <v>0</v>
      </c>
    </row>
    <row r="33" spans="1:49" s="5" customFormat="1" ht="30" customHeight="1" x14ac:dyDescent="0.35">
      <c r="A33" s="106" t="str">
        <f>IF(B33="","",VLOOKUP(B33,Einstellungen!$E$9:$F$99,2,FALSE))</f>
        <v/>
      </c>
      <c r="B33" s="233"/>
      <c r="C33" s="23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2"/>
      <c r="AH33" s="150" cm="1">
        <f t="array" ref="AH33">SUMPRODUCT(ISNUMBER(MATCH($C33:$AG33, Tagschichten, 0)) * 1)</f>
        <v>0</v>
      </c>
      <c r="AI33" s="151" cm="1">
        <f t="array" ref="AI33">SUMPRODUCT(ISNUMBER(MATCH($C33:$AG33, Nachtschichten, 0)) * 1)</f>
        <v>0</v>
      </c>
      <c r="AJ33" s="157">
        <f t="shared" si="7"/>
        <v>0</v>
      </c>
      <c r="AK33" s="197">
        <f t="shared" si="3"/>
        <v>0</v>
      </c>
      <c r="AL33" s="198">
        <f t="shared" si="4"/>
        <v>0</v>
      </c>
      <c r="AM33" s="199">
        <f t="shared" si="5"/>
        <v>0</v>
      </c>
      <c r="AN33" s="200"/>
      <c r="AO33" s="200"/>
      <c r="AP33" s="200"/>
      <c r="AQ33" s="201">
        <f t="shared" si="6"/>
        <v>0</v>
      </c>
      <c r="AR33" s="7"/>
      <c r="AS33" s="90" cm="1">
        <f t="array" ref="AS33">SUMPRODUCT(--(ISNUMBER(MATCH($C33:$AG33, Tagschichten, 0))) * (C$9:AG$9="FT"))</f>
        <v>0</v>
      </c>
      <c r="AT33" s="68" cm="1">
        <f t="array" ref="AT33">SUMPRODUCT(--(ISNUMBER(MATCH($C33:$AG33, Nachtschichten, 0))) * (C$9:AG$9="FT"))</f>
        <v>0</v>
      </c>
      <c r="AU33" s="91" cm="1">
        <f t="array" ref="AU33">SUMPRODUCT(--(ISNUMBER(MATCH($C33:$AG33, Tagschichten, 0))) * (C$9:AG$9&lt;&gt;"FT") * (C$8:AG$8=7))</f>
        <v>0</v>
      </c>
      <c r="AV33" s="95" cm="1">
        <f t="array" ref="AV33">SUMPRODUCT(--(ISNUMBER(MATCH($C33:$AG33, Nachtschichten, 0))) * (C$8:AG$8&gt;=6))</f>
        <v>0</v>
      </c>
      <c r="AW33" s="92" cm="1">
        <f t="array" ref="AW33">SUMPRODUCT(
    --(ISNUMBER(MATCH(C33:AF33, Nachtschichten, 0))) *
    ISNUMBER(MATCH(
        IF(D$6:AG$6="", C$6:AF$6+1, D$6:AG$6),
        Einstellungen!$B$8:$B$22, 0))
)+
IF(AND(
    NOT(ISBLANK(AG$6)),
    ISNUMBER(MATCH(AG33, Nachtschichten, 0)),
    ISNUMBER(MATCH(AG$6+1, Einstellungen!$B$8:$B$22, 0))
),
1, 0)+
IF(AND(
    ISNUMBER(MATCH(AG33, Nachtschichten, 0)),
    $C$95=12),
1, 0)</f>
        <v>0</v>
      </c>
    </row>
    <row r="34" spans="1:49" s="5" customFormat="1" ht="30" customHeight="1" thickBot="1" x14ac:dyDescent="0.4">
      <c r="A34" s="106" t="str">
        <f>IF(B34="","",VLOOKUP(B34,Einstellungen!$E$9:$F$99,2,FALSE))</f>
        <v/>
      </c>
      <c r="B34" s="233"/>
      <c r="C34" s="23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2"/>
      <c r="AH34" s="150" cm="1">
        <f t="array" ref="AH34">SUMPRODUCT(ISNUMBER(MATCH($C34:$AG34, Tagschichten, 0)) * 1)</f>
        <v>0</v>
      </c>
      <c r="AI34" s="151" cm="1">
        <f t="array" ref="AI34">SUMPRODUCT(ISNUMBER(MATCH($C34:$AG34, Nachtschichten, 0)) * 1)</f>
        <v>0</v>
      </c>
      <c r="AJ34" s="157">
        <f t="shared" si="7"/>
        <v>0</v>
      </c>
      <c r="AK34" s="197">
        <f t="shared" si="3"/>
        <v>0</v>
      </c>
      <c r="AL34" s="198">
        <f t="shared" si="4"/>
        <v>0</v>
      </c>
      <c r="AM34" s="199">
        <f t="shared" si="5"/>
        <v>0</v>
      </c>
      <c r="AN34" s="200"/>
      <c r="AO34" s="200"/>
      <c r="AP34" s="200"/>
      <c r="AQ34" s="201">
        <f t="shared" si="6"/>
        <v>0</v>
      </c>
      <c r="AR34" s="7"/>
      <c r="AS34" s="90" cm="1">
        <f t="array" ref="AS34">SUMPRODUCT(--(ISNUMBER(MATCH($C34:$AG34, Tagschichten, 0))) * (C$9:AG$9="FT"))</f>
        <v>0</v>
      </c>
      <c r="AT34" s="68" cm="1">
        <f t="array" ref="AT34">SUMPRODUCT(--(ISNUMBER(MATCH($C34:$AG34, Nachtschichten, 0))) * (C$9:AG$9="FT"))</f>
        <v>0</v>
      </c>
      <c r="AU34" s="91" cm="1">
        <f t="array" ref="AU34">SUMPRODUCT(--(ISNUMBER(MATCH($C34:$AG34, Tagschichten, 0))) * (C$9:AG$9&lt;&gt;"FT") * (C$8:AG$8=7))</f>
        <v>0</v>
      </c>
      <c r="AV34" s="95" cm="1">
        <f t="array" ref="AV34">SUMPRODUCT(--(ISNUMBER(MATCH($C34:$AG34, Nachtschichten, 0))) * (C$8:AG$8&gt;=6))</f>
        <v>0</v>
      </c>
      <c r="AW34" s="92" cm="1">
        <f t="array" ref="AW34">SUMPRODUCT(
    --(ISNUMBER(MATCH(C34:AF34, Nachtschichten, 0))) *
    ISNUMBER(MATCH(
        IF(D$6:AG$6="", C$6:AF$6+1, D$6:AG$6),
        Einstellungen!$B$8:$B$22, 0))
)+
IF(AND(
    NOT(ISBLANK(AG$6)),
    ISNUMBER(MATCH(AG34, Nachtschichten, 0)),
    ISNUMBER(MATCH(AG$6+1, Einstellungen!$B$8:$B$22, 0))
),
1, 0)+
IF(AND(
    ISNUMBER(MATCH(AG34, Nachtschichten, 0)),
    $C$95=12),
1, 0)</f>
        <v>0</v>
      </c>
    </row>
    <row r="35" spans="1:49" s="5" customFormat="1" ht="30" hidden="1" customHeight="1" x14ac:dyDescent="0.35">
      <c r="A35" s="106" t="str">
        <f>IF(B35="","",VLOOKUP(B35,Einstellungen!$E$9:$F$99,2,FALSE))</f>
        <v/>
      </c>
      <c r="B35" s="48"/>
      <c r="C35" s="23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2"/>
      <c r="AH35" s="150" cm="1">
        <f t="array" ref="AH35">SUMPRODUCT(ISNUMBER(MATCH($C35:$AG35, Tagschichten, 0)) * 1)</f>
        <v>0</v>
      </c>
      <c r="AI35" s="151" cm="1">
        <f t="array" ref="AI35">SUMPRODUCT(ISNUMBER(MATCH($C35:$AG35, Nachtschichten, 0)) * 1)</f>
        <v>0</v>
      </c>
      <c r="AJ35" s="157">
        <f t="shared" si="7"/>
        <v>0</v>
      </c>
      <c r="AK35" s="197">
        <f t="shared" si="3"/>
        <v>0</v>
      </c>
      <c r="AL35" s="198">
        <f t="shared" si="4"/>
        <v>0</v>
      </c>
      <c r="AM35" s="199">
        <f t="shared" si="5"/>
        <v>0</v>
      </c>
      <c r="AN35" s="200"/>
      <c r="AO35" s="200"/>
      <c r="AP35" s="200"/>
      <c r="AQ35" s="201">
        <f t="shared" si="6"/>
        <v>0</v>
      </c>
      <c r="AR35" s="7"/>
      <c r="AS35" s="90" cm="1">
        <f t="array" ref="AS35">SUMPRODUCT(--(ISNUMBER(MATCH($C35:$AG35, Tagschichten, 0))) * (C$9:AG$9="FT"))</f>
        <v>0</v>
      </c>
      <c r="AT35" s="68" cm="1">
        <f t="array" ref="AT35">SUMPRODUCT(--(ISNUMBER(MATCH($C35:$AG35, Nachtschichten, 0))) * (C$9:AG$9="FT"))</f>
        <v>0</v>
      </c>
      <c r="AU35" s="91" cm="1">
        <f t="array" ref="AU35">SUMPRODUCT(--(ISNUMBER(MATCH($C35:$AG35, Tagschichten, 0))) * (C$9:AG$9&lt;&gt;"FT") * (C$8:AG$8=7))</f>
        <v>0</v>
      </c>
      <c r="AV35" s="95" cm="1">
        <f t="array" ref="AV35">SUMPRODUCT(--(ISNUMBER(MATCH($C35:$AG35, Nachtschichten, 0))) * (C$8:AG$8&gt;=6))</f>
        <v>0</v>
      </c>
      <c r="AW35" s="92" cm="1">
        <f t="array" ref="AW35">SUMPRODUCT(
    --(ISNUMBER(MATCH(C35:AF35, Nachtschichten, 0))) *
    ISNUMBER(MATCH(
        IF(D$6:AG$6="", C$6:AF$6+1, D$6:AG$6),
        Einstellungen!$B$8:$B$22, 0))
)+
IF(AND(
    NOT(ISBLANK(AG$6)),
    ISNUMBER(MATCH(AG35, Nachtschichten, 0)),
    ISNUMBER(MATCH(AG$6+1, Einstellungen!$B$8:$B$22, 0))
),
1, 0)+
IF(AND(
    ISNUMBER(MATCH(AG35, Nachtschichten, 0)),
    $C$95=12),
1, 0)</f>
        <v>0</v>
      </c>
    </row>
    <row r="36" spans="1:49" s="5" customFormat="1" ht="30" hidden="1" customHeight="1" x14ac:dyDescent="0.35">
      <c r="A36" s="106" t="str">
        <f>IF(B36="","",VLOOKUP(B36,Einstellungen!$E$9:$F$99,2,FALSE))</f>
        <v/>
      </c>
      <c r="B36" s="48"/>
      <c r="C36" s="23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2"/>
      <c r="AH36" s="150" cm="1">
        <f t="array" ref="AH36">SUMPRODUCT(ISNUMBER(MATCH($C36:$AG36, Tagschichten, 0)) * 1)</f>
        <v>0</v>
      </c>
      <c r="AI36" s="151" cm="1">
        <f t="array" ref="AI36">SUMPRODUCT(ISNUMBER(MATCH($C36:$AG36, Nachtschichten, 0)) * 1)</f>
        <v>0</v>
      </c>
      <c r="AJ36" s="157">
        <f t="shared" si="7"/>
        <v>0</v>
      </c>
      <c r="AK36" s="197">
        <f t="shared" si="3"/>
        <v>0</v>
      </c>
      <c r="AL36" s="198">
        <f t="shared" si="4"/>
        <v>0</v>
      </c>
      <c r="AM36" s="199">
        <f t="shared" si="5"/>
        <v>0</v>
      </c>
      <c r="AN36" s="200"/>
      <c r="AO36" s="200"/>
      <c r="AP36" s="200"/>
      <c r="AQ36" s="201">
        <f t="shared" si="6"/>
        <v>0</v>
      </c>
      <c r="AR36" s="7"/>
      <c r="AS36" s="90" cm="1">
        <f t="array" ref="AS36">SUMPRODUCT(--(ISNUMBER(MATCH($C36:$AG36, Tagschichten, 0))) * (C$9:AG$9="FT"))</f>
        <v>0</v>
      </c>
      <c r="AT36" s="68" cm="1">
        <f t="array" ref="AT36">SUMPRODUCT(--(ISNUMBER(MATCH($C36:$AG36, Nachtschichten, 0))) * (C$9:AG$9="FT"))</f>
        <v>0</v>
      </c>
      <c r="AU36" s="91" cm="1">
        <f t="array" ref="AU36">SUMPRODUCT(--(ISNUMBER(MATCH($C36:$AG36, Tagschichten, 0))) * (C$9:AG$9&lt;&gt;"FT") * (C$8:AG$8=7))</f>
        <v>0</v>
      </c>
      <c r="AV36" s="95" cm="1">
        <f t="array" ref="AV36">SUMPRODUCT(--(ISNUMBER(MATCH($C36:$AG36, Nachtschichten, 0))) * (C$8:AG$8&gt;=6))</f>
        <v>0</v>
      </c>
      <c r="AW36" s="92" cm="1">
        <f t="array" ref="AW36">SUMPRODUCT(
    --(ISNUMBER(MATCH(C36:AF36, Nachtschichten, 0))) *
    ISNUMBER(MATCH(
        IF(D$6:AG$6="", C$6:AF$6+1, D$6:AG$6),
        Einstellungen!$B$8:$B$22, 0))
)+
IF(AND(
    NOT(ISBLANK(AG$6)),
    ISNUMBER(MATCH(AG36, Nachtschichten, 0)),
    ISNUMBER(MATCH(AG$6+1, Einstellungen!$B$8:$B$22, 0))
),
1, 0)+
IF(AND(
    ISNUMBER(MATCH(AG36, Nachtschichten, 0)),
    $C$95=12),
1, 0)</f>
        <v>0</v>
      </c>
    </row>
    <row r="37" spans="1:49" s="5" customFormat="1" ht="30" hidden="1" customHeight="1" x14ac:dyDescent="0.35">
      <c r="A37" s="106" t="str">
        <f>IF(B37="","",VLOOKUP(B37,Einstellungen!$E$9:$F$99,2,FALSE))</f>
        <v/>
      </c>
      <c r="B37" s="48"/>
      <c r="C37" s="23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2"/>
      <c r="AH37" s="150" cm="1">
        <f t="array" ref="AH37">SUMPRODUCT(ISNUMBER(MATCH($C37:$AG37, Tagschichten, 0)) * 1)</f>
        <v>0</v>
      </c>
      <c r="AI37" s="151" cm="1">
        <f t="array" ref="AI37">SUMPRODUCT(ISNUMBER(MATCH($C37:$AG37, Nachtschichten, 0)) * 1)</f>
        <v>0</v>
      </c>
      <c r="AJ37" s="157">
        <f t="shared" si="7"/>
        <v>0</v>
      </c>
      <c r="AK37" s="197">
        <f t="shared" si="3"/>
        <v>0</v>
      </c>
      <c r="AL37" s="198">
        <f t="shared" si="4"/>
        <v>0</v>
      </c>
      <c r="AM37" s="199">
        <f t="shared" si="5"/>
        <v>0</v>
      </c>
      <c r="AN37" s="200"/>
      <c r="AO37" s="200"/>
      <c r="AP37" s="200"/>
      <c r="AQ37" s="201">
        <f t="shared" si="6"/>
        <v>0</v>
      </c>
      <c r="AR37" s="7"/>
      <c r="AS37" s="90" cm="1">
        <f t="array" ref="AS37">SUMPRODUCT(--(ISNUMBER(MATCH($C37:$AG37, Tagschichten, 0))) * (C$9:AG$9="FT"))</f>
        <v>0</v>
      </c>
      <c r="AT37" s="68" cm="1">
        <f t="array" ref="AT37">SUMPRODUCT(--(ISNUMBER(MATCH($C37:$AG37, Nachtschichten, 0))) * (C$9:AG$9="FT"))</f>
        <v>0</v>
      </c>
      <c r="AU37" s="91" cm="1">
        <f t="array" ref="AU37">SUMPRODUCT(--(ISNUMBER(MATCH($C37:$AG37, Tagschichten, 0))) * (C$9:AG$9&lt;&gt;"FT") * (C$8:AG$8=7))</f>
        <v>0</v>
      </c>
      <c r="AV37" s="95" cm="1">
        <f t="array" ref="AV37">SUMPRODUCT(--(ISNUMBER(MATCH($C37:$AG37, Nachtschichten, 0))) * (C$8:AG$8&gt;=6))</f>
        <v>0</v>
      </c>
      <c r="AW37" s="92" cm="1">
        <f t="array" ref="AW37">SUMPRODUCT(
    --(ISNUMBER(MATCH(C37:AF37, Nachtschichten, 0))) *
    ISNUMBER(MATCH(
        IF(D$6:AG$6="", C$6:AF$6+1, D$6:AG$6),
        Einstellungen!$B$8:$B$22, 0))
)+
IF(AND(
    NOT(ISBLANK(AG$6)),
    ISNUMBER(MATCH(AG37, Nachtschichten, 0)),
    ISNUMBER(MATCH(AG$6+1, Einstellungen!$B$8:$B$22, 0))
),
1, 0)+
IF(AND(
    ISNUMBER(MATCH(AG37, Nachtschichten, 0)),
    $C$95=12),
1, 0)</f>
        <v>0</v>
      </c>
    </row>
    <row r="38" spans="1:49" s="5" customFormat="1" ht="30" hidden="1" customHeight="1" x14ac:dyDescent="0.35">
      <c r="A38" s="106" t="str">
        <f>IF(B38="","",VLOOKUP(B38,Einstellungen!$E$9:$F$99,2,FALSE))</f>
        <v/>
      </c>
      <c r="B38" s="48"/>
      <c r="C38" s="23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2"/>
      <c r="AH38" s="150" cm="1">
        <f t="array" ref="AH38">SUMPRODUCT(ISNUMBER(MATCH($C38:$AG38, Tagschichten, 0)) * 1)</f>
        <v>0</v>
      </c>
      <c r="AI38" s="151" cm="1">
        <f t="array" ref="AI38">SUMPRODUCT(ISNUMBER(MATCH($C38:$AG38, Nachtschichten, 0)) * 1)</f>
        <v>0</v>
      </c>
      <c r="AJ38" s="157">
        <f t="shared" si="7"/>
        <v>0</v>
      </c>
      <c r="AK38" s="197">
        <f t="shared" si="3"/>
        <v>0</v>
      </c>
      <c r="AL38" s="198">
        <f t="shared" si="4"/>
        <v>0</v>
      </c>
      <c r="AM38" s="199">
        <f t="shared" si="5"/>
        <v>0</v>
      </c>
      <c r="AN38" s="200"/>
      <c r="AO38" s="200"/>
      <c r="AP38" s="200"/>
      <c r="AQ38" s="201">
        <f t="shared" si="6"/>
        <v>0</v>
      </c>
      <c r="AR38" s="7"/>
      <c r="AS38" s="90" cm="1">
        <f t="array" ref="AS38">SUMPRODUCT(--(ISNUMBER(MATCH($C38:$AG38, Tagschichten, 0))) * (C$9:AG$9="FT"))</f>
        <v>0</v>
      </c>
      <c r="AT38" s="68" cm="1">
        <f t="array" ref="AT38">SUMPRODUCT(--(ISNUMBER(MATCH($C38:$AG38, Nachtschichten, 0))) * (C$9:AG$9="FT"))</f>
        <v>0</v>
      </c>
      <c r="AU38" s="91" cm="1">
        <f t="array" ref="AU38">SUMPRODUCT(--(ISNUMBER(MATCH($C38:$AG38, Tagschichten, 0))) * (C$9:AG$9&lt;&gt;"FT") * (C$8:AG$8=7))</f>
        <v>0</v>
      </c>
      <c r="AV38" s="95" cm="1">
        <f t="array" ref="AV38">SUMPRODUCT(--(ISNUMBER(MATCH($C38:$AG38, Nachtschichten, 0))) * (C$8:AG$8&gt;=6))</f>
        <v>0</v>
      </c>
      <c r="AW38" s="92" cm="1">
        <f t="array" ref="AW38">SUMPRODUCT(
    --(ISNUMBER(MATCH(C38:AF38, Nachtschichten, 0))) *
    ISNUMBER(MATCH(
        IF(D$6:AG$6="", C$6:AF$6+1, D$6:AG$6),
        Einstellungen!$B$8:$B$22, 0))
)+
IF(AND(
    NOT(ISBLANK(AG$6)),
    ISNUMBER(MATCH(AG38, Nachtschichten, 0)),
    ISNUMBER(MATCH(AG$6+1, Einstellungen!$B$8:$B$22, 0))
),
1, 0)+
IF(AND(
    ISNUMBER(MATCH(AG38, Nachtschichten, 0)),
    $C$95=12),
1, 0)</f>
        <v>0</v>
      </c>
    </row>
    <row r="39" spans="1:49" s="5" customFormat="1" ht="30" hidden="1" customHeight="1" x14ac:dyDescent="0.35">
      <c r="A39" s="106" t="str">
        <f>IF(B39="","",VLOOKUP(B39,Einstellungen!$E$9:$F$99,2,FALSE))</f>
        <v/>
      </c>
      <c r="B39" s="48"/>
      <c r="C39" s="23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2"/>
      <c r="AH39" s="150" cm="1">
        <f t="array" ref="AH39">SUMPRODUCT(ISNUMBER(MATCH($C39:$AG39, Tagschichten, 0)) * 1)</f>
        <v>0</v>
      </c>
      <c r="AI39" s="151" cm="1">
        <f t="array" ref="AI39">SUMPRODUCT(ISNUMBER(MATCH($C39:$AG39, Nachtschichten, 0)) * 1)</f>
        <v>0</v>
      </c>
      <c r="AJ39" s="157">
        <f t="shared" si="7"/>
        <v>0</v>
      </c>
      <c r="AK39" s="197">
        <f t="shared" si="3"/>
        <v>0</v>
      </c>
      <c r="AL39" s="198">
        <f t="shared" si="4"/>
        <v>0</v>
      </c>
      <c r="AM39" s="199">
        <f t="shared" si="5"/>
        <v>0</v>
      </c>
      <c r="AN39" s="200"/>
      <c r="AO39" s="200"/>
      <c r="AP39" s="200"/>
      <c r="AQ39" s="201">
        <f t="shared" si="6"/>
        <v>0</v>
      </c>
      <c r="AR39" s="7"/>
      <c r="AS39" s="90" cm="1">
        <f t="array" ref="AS39">SUMPRODUCT(--(ISNUMBER(MATCH($C39:$AG39, Tagschichten, 0))) * (C$9:AG$9="FT"))</f>
        <v>0</v>
      </c>
      <c r="AT39" s="68" cm="1">
        <f t="array" ref="AT39">SUMPRODUCT(--(ISNUMBER(MATCH($C39:$AG39, Nachtschichten, 0))) * (C$9:AG$9="FT"))</f>
        <v>0</v>
      </c>
      <c r="AU39" s="91" cm="1">
        <f t="array" ref="AU39">SUMPRODUCT(--(ISNUMBER(MATCH($C39:$AG39, Tagschichten, 0))) * (C$9:AG$9&lt;&gt;"FT") * (C$8:AG$8=7))</f>
        <v>0</v>
      </c>
      <c r="AV39" s="95" cm="1">
        <f t="array" ref="AV39">SUMPRODUCT(--(ISNUMBER(MATCH($C39:$AG39, Nachtschichten, 0))) * (C$8:AG$8&gt;=6))</f>
        <v>0</v>
      </c>
      <c r="AW39" s="92" cm="1">
        <f t="array" ref="AW39">SUMPRODUCT(
    --(ISNUMBER(MATCH(C39:AF39, Nachtschichten, 0))) *
    ISNUMBER(MATCH(
        IF(D$6:AG$6="", C$6:AF$6+1, D$6:AG$6),
        Einstellungen!$B$8:$B$22, 0))
)+
IF(AND(
    NOT(ISBLANK(AG$6)),
    ISNUMBER(MATCH(AG39, Nachtschichten, 0)),
    ISNUMBER(MATCH(AG$6+1, Einstellungen!$B$8:$B$22, 0))
),
1, 0)+
IF(AND(
    ISNUMBER(MATCH(AG39, Nachtschichten, 0)),
    $C$95=12),
1, 0)</f>
        <v>0</v>
      </c>
    </row>
    <row r="40" spans="1:49" s="5" customFormat="1" ht="20" hidden="1" customHeight="1" x14ac:dyDescent="0.35">
      <c r="A40" s="106" t="str">
        <f>IF(B40="","",VLOOKUP(B40,Einstellungen!$E$9:$F$99,2,FALSE))</f>
        <v/>
      </c>
      <c r="B40" s="48"/>
      <c r="C40" s="23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2"/>
      <c r="AH40" s="150" cm="1">
        <f t="array" ref="AH40">SUMPRODUCT(ISNUMBER(MATCH($C40:$AG40, Tagschichten, 0)) * 1)</f>
        <v>0</v>
      </c>
      <c r="AI40" s="151" cm="1">
        <f t="array" ref="AI40">SUMPRODUCT(ISNUMBER(MATCH($C40:$AG40, Nachtschichten, 0)) * 1)</f>
        <v>0</v>
      </c>
      <c r="AJ40" s="157">
        <f t="shared" si="7"/>
        <v>0</v>
      </c>
      <c r="AK40" s="197">
        <f t="shared" si="3"/>
        <v>0</v>
      </c>
      <c r="AL40" s="198">
        <f t="shared" si="4"/>
        <v>0</v>
      </c>
      <c r="AM40" s="199">
        <f t="shared" si="5"/>
        <v>0</v>
      </c>
      <c r="AN40" s="200"/>
      <c r="AO40" s="200"/>
      <c r="AP40" s="200"/>
      <c r="AQ40" s="201">
        <f t="shared" si="6"/>
        <v>0</v>
      </c>
      <c r="AR40" s="7"/>
      <c r="AS40" s="90" cm="1">
        <f t="array" ref="AS40">SUMPRODUCT(--(ISNUMBER(MATCH($C40:$AG40, Tagschichten, 0))) * (C$9:AG$9="FT"))</f>
        <v>0</v>
      </c>
      <c r="AT40" s="68" cm="1">
        <f t="array" ref="AT40">SUMPRODUCT(--(ISNUMBER(MATCH($C40:$AG40, Nachtschichten, 0))) * (C$9:AG$9="FT"))</f>
        <v>0</v>
      </c>
      <c r="AU40" s="91" cm="1">
        <f t="array" ref="AU40">SUMPRODUCT(--(ISNUMBER(MATCH($C40:$AG40, Tagschichten, 0))) * (C$9:AG$9&lt;&gt;"FT") * (C$8:AG$8=7))</f>
        <v>0</v>
      </c>
      <c r="AV40" s="95" cm="1">
        <f t="array" ref="AV40">SUMPRODUCT(--(ISNUMBER(MATCH($C40:$AG40, Nachtschichten, 0))) * (C$8:AG$8&gt;=6))</f>
        <v>0</v>
      </c>
      <c r="AW40" s="92" cm="1">
        <f t="array" ref="AW40">SUMPRODUCT(
    --(ISNUMBER(MATCH(C40:AF40, Nachtschichten, 0))) *
    ISNUMBER(MATCH(
        IF(D$6:AG$6="", C$6:AF$6+1, D$6:AG$6),
        Einstellungen!$B$8:$B$22, 0))
)+
IF(AND(
    NOT(ISBLANK(AG$6)),
    ISNUMBER(MATCH(AG40, Nachtschichten, 0)),
    ISNUMBER(MATCH(AG$6+1, Einstellungen!$B$8:$B$22, 0))
),
1, 0)+
IF(AND(
    ISNUMBER(MATCH(AG40, Nachtschichten, 0)),
    $C$95=12),
1, 0)</f>
        <v>0</v>
      </c>
    </row>
    <row r="41" spans="1:49" s="5" customFormat="1" ht="20" hidden="1" customHeight="1" x14ac:dyDescent="0.35">
      <c r="A41" s="106" t="str">
        <f>IF(B41="","",VLOOKUP(B41,Einstellungen!$E$9:$F$99,2,FALSE))</f>
        <v/>
      </c>
      <c r="B41" s="48"/>
      <c r="C41" s="23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2"/>
      <c r="AH41" s="150" cm="1">
        <f t="array" ref="AH41">SUMPRODUCT(ISNUMBER(MATCH($C41:$AG41, Tagschichten, 0)) * 1)</f>
        <v>0</v>
      </c>
      <c r="AI41" s="151" cm="1">
        <f t="array" ref="AI41">SUMPRODUCT(ISNUMBER(MATCH($C41:$AG41, Nachtschichten, 0)) * 1)</f>
        <v>0</v>
      </c>
      <c r="AJ41" s="157">
        <f t="shared" si="7"/>
        <v>0</v>
      </c>
      <c r="AK41" s="197">
        <f t="shared" si="3"/>
        <v>0</v>
      </c>
      <c r="AL41" s="198">
        <f t="shared" si="4"/>
        <v>0</v>
      </c>
      <c r="AM41" s="199">
        <f t="shared" si="5"/>
        <v>0</v>
      </c>
      <c r="AN41" s="200"/>
      <c r="AO41" s="200"/>
      <c r="AP41" s="200"/>
      <c r="AQ41" s="201">
        <f t="shared" si="6"/>
        <v>0</v>
      </c>
      <c r="AR41" s="7"/>
      <c r="AS41" s="90" cm="1">
        <f t="array" ref="AS41">SUMPRODUCT(--(ISNUMBER(MATCH($C41:$AG41, Tagschichten, 0))) * (C$9:AG$9="FT"))</f>
        <v>0</v>
      </c>
      <c r="AT41" s="68" cm="1">
        <f t="array" ref="AT41">SUMPRODUCT(--(ISNUMBER(MATCH($C41:$AG41, Nachtschichten, 0))) * (C$9:AG$9="FT"))</f>
        <v>0</v>
      </c>
      <c r="AU41" s="91" cm="1">
        <f t="array" ref="AU41">SUMPRODUCT(--(ISNUMBER(MATCH($C41:$AG41, Tagschichten, 0))) * (C$9:AG$9&lt;&gt;"FT") * (C$8:AG$8=7))</f>
        <v>0</v>
      </c>
      <c r="AV41" s="95" cm="1">
        <f t="array" ref="AV41">SUMPRODUCT(--(ISNUMBER(MATCH($C41:$AG41, Nachtschichten, 0))) * (C$8:AG$8&gt;=6))</f>
        <v>0</v>
      </c>
      <c r="AW41" s="92" cm="1">
        <f t="array" ref="AW41">SUMPRODUCT(
    --(ISNUMBER(MATCH(C41:AF41, Nachtschichten, 0))) *
    ISNUMBER(MATCH(
        IF(D$6:AG$6="", C$6:AF$6+1, D$6:AG$6),
        Einstellungen!$B$8:$B$22, 0))
)+
IF(AND(
    NOT(ISBLANK(AG$6)),
    ISNUMBER(MATCH(AG41, Nachtschichten, 0)),
    ISNUMBER(MATCH(AG$6+1, Einstellungen!$B$8:$B$22, 0))
),
1, 0)+
IF(AND(
    ISNUMBER(MATCH(AG41, Nachtschichten, 0)),
    $C$95=12),
1, 0)</f>
        <v>0</v>
      </c>
    </row>
    <row r="42" spans="1:49" s="5" customFormat="1" ht="20" hidden="1" customHeight="1" x14ac:dyDescent="0.35">
      <c r="A42" s="106" t="str">
        <f>IF(B42="","",VLOOKUP(B42,Einstellungen!$E$9:$F$99,2,FALSE))</f>
        <v/>
      </c>
      <c r="B42" s="48"/>
      <c r="C42" s="23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2"/>
      <c r="AH42" s="150" cm="1">
        <f t="array" ref="AH42">SUMPRODUCT(ISNUMBER(MATCH($C42:$AG42, Tagschichten, 0)) * 1)</f>
        <v>0</v>
      </c>
      <c r="AI42" s="151" cm="1">
        <f t="array" ref="AI42">SUMPRODUCT(ISNUMBER(MATCH($C42:$AG42, Nachtschichten, 0)) * 1)</f>
        <v>0</v>
      </c>
      <c r="AJ42" s="157">
        <f t="shared" si="7"/>
        <v>0</v>
      </c>
      <c r="AK42" s="197">
        <f t="shared" si="3"/>
        <v>0</v>
      </c>
      <c r="AL42" s="198">
        <f t="shared" si="4"/>
        <v>0</v>
      </c>
      <c r="AM42" s="199">
        <f t="shared" si="5"/>
        <v>0</v>
      </c>
      <c r="AN42" s="200"/>
      <c r="AO42" s="200"/>
      <c r="AP42" s="200"/>
      <c r="AQ42" s="201">
        <f t="shared" si="6"/>
        <v>0</v>
      </c>
      <c r="AR42" s="7"/>
      <c r="AS42" s="90" cm="1">
        <f t="array" ref="AS42">SUMPRODUCT(--(ISNUMBER(MATCH($C42:$AG42, Tagschichten, 0))) * (C$9:AG$9="FT"))</f>
        <v>0</v>
      </c>
      <c r="AT42" s="68" cm="1">
        <f t="array" ref="AT42">SUMPRODUCT(--(ISNUMBER(MATCH($C42:$AG42, Nachtschichten, 0))) * (C$9:AG$9="FT"))</f>
        <v>0</v>
      </c>
      <c r="AU42" s="91" cm="1">
        <f t="array" ref="AU42">SUMPRODUCT(--(ISNUMBER(MATCH($C42:$AG42, Tagschichten, 0))) * (C$9:AG$9&lt;&gt;"FT") * (C$8:AG$8=7))</f>
        <v>0</v>
      </c>
      <c r="AV42" s="95" cm="1">
        <f t="array" ref="AV42">SUMPRODUCT(--(ISNUMBER(MATCH($C42:$AG42, Nachtschichten, 0))) * (C$8:AG$8&gt;=6))</f>
        <v>0</v>
      </c>
      <c r="AW42" s="92" cm="1">
        <f t="array" ref="AW42">SUMPRODUCT(
    --(ISNUMBER(MATCH(C42:AF42, Nachtschichten, 0))) *
    ISNUMBER(MATCH(
        IF(D$6:AG$6="", C$6:AF$6+1, D$6:AG$6),
        Einstellungen!$B$8:$B$22, 0))
)+
IF(AND(
    NOT(ISBLANK(AG$6)),
    ISNUMBER(MATCH(AG42, Nachtschichten, 0)),
    ISNUMBER(MATCH(AG$6+1, Einstellungen!$B$8:$B$22, 0))
),
1, 0)+
IF(AND(
    ISNUMBER(MATCH(AG42, Nachtschichten, 0)),
    $C$95=12),
1, 0)</f>
        <v>0</v>
      </c>
    </row>
    <row r="43" spans="1:49" s="5" customFormat="1" ht="20" hidden="1" customHeight="1" x14ac:dyDescent="0.35">
      <c r="A43" s="106" t="str">
        <f>IF(B43="","",VLOOKUP(B43,Einstellungen!$E$9:$F$99,2,FALSE))</f>
        <v/>
      </c>
      <c r="B43" s="48"/>
      <c r="C43" s="23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2"/>
      <c r="AH43" s="150" cm="1">
        <f t="array" ref="AH43">SUMPRODUCT(ISNUMBER(MATCH($C43:$AG43, Tagschichten, 0)) * 1)</f>
        <v>0</v>
      </c>
      <c r="AI43" s="151" cm="1">
        <f t="array" ref="AI43">SUMPRODUCT(ISNUMBER(MATCH($C43:$AG43, Nachtschichten, 0)) * 1)</f>
        <v>0</v>
      </c>
      <c r="AJ43" s="157">
        <f t="shared" si="7"/>
        <v>0</v>
      </c>
      <c r="AK43" s="197">
        <f t="shared" si="3"/>
        <v>0</v>
      </c>
      <c r="AL43" s="198">
        <f t="shared" si="4"/>
        <v>0</v>
      </c>
      <c r="AM43" s="199">
        <f t="shared" si="5"/>
        <v>0</v>
      </c>
      <c r="AN43" s="200"/>
      <c r="AO43" s="200"/>
      <c r="AP43" s="200"/>
      <c r="AQ43" s="201">
        <f t="shared" si="6"/>
        <v>0</v>
      </c>
      <c r="AR43" s="7"/>
      <c r="AS43" s="90" cm="1">
        <f t="array" ref="AS43">SUMPRODUCT(--(ISNUMBER(MATCH($C43:$AG43, Tagschichten, 0))) * (C$9:AG$9="FT"))</f>
        <v>0</v>
      </c>
      <c r="AT43" s="68" cm="1">
        <f t="array" ref="AT43">SUMPRODUCT(--(ISNUMBER(MATCH($C43:$AG43, Nachtschichten, 0))) * (C$9:AG$9="FT"))</f>
        <v>0</v>
      </c>
      <c r="AU43" s="91" cm="1">
        <f t="array" ref="AU43">SUMPRODUCT(--(ISNUMBER(MATCH($C43:$AG43, Tagschichten, 0))) * (C$9:AG$9&lt;&gt;"FT") * (C$8:AG$8=7))</f>
        <v>0</v>
      </c>
      <c r="AV43" s="95" cm="1">
        <f t="array" ref="AV43">SUMPRODUCT(--(ISNUMBER(MATCH($C43:$AG43, Nachtschichten, 0))) * (C$8:AG$8&gt;=6))</f>
        <v>0</v>
      </c>
      <c r="AW43" s="92" cm="1">
        <f t="array" ref="AW43">SUMPRODUCT(
    --(ISNUMBER(MATCH(C43:AF43, Nachtschichten, 0))) *
    ISNUMBER(MATCH(
        IF(D$6:AG$6="", C$6:AF$6+1, D$6:AG$6),
        Einstellungen!$B$8:$B$22, 0))
)+
IF(AND(
    NOT(ISBLANK(AG$6)),
    ISNUMBER(MATCH(AG43, Nachtschichten, 0)),
    ISNUMBER(MATCH(AG$6+1, Einstellungen!$B$8:$B$22, 0))
),
1, 0)+
IF(AND(
    ISNUMBER(MATCH(AG43, Nachtschichten, 0)),
    $C$95=12),
1, 0)</f>
        <v>0</v>
      </c>
    </row>
    <row r="44" spans="1:49" s="5" customFormat="1" ht="20" hidden="1" customHeight="1" x14ac:dyDescent="0.35">
      <c r="A44" s="106" t="str">
        <f>IF(B44="","",VLOOKUP(B44,Einstellungen!$E$9:$F$99,2,FALSE))</f>
        <v/>
      </c>
      <c r="B44" s="48"/>
      <c r="C44" s="23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2"/>
      <c r="AH44" s="150" cm="1">
        <f t="array" ref="AH44">SUMPRODUCT(ISNUMBER(MATCH($C44:$AG44, Tagschichten, 0)) * 1)</f>
        <v>0</v>
      </c>
      <c r="AI44" s="151" cm="1">
        <f t="array" ref="AI44">SUMPRODUCT(ISNUMBER(MATCH($C44:$AG44, Nachtschichten, 0)) * 1)</f>
        <v>0</v>
      </c>
      <c r="AJ44" s="157">
        <f t="shared" si="7"/>
        <v>0</v>
      </c>
      <c r="AK44" s="197">
        <f t="shared" si="3"/>
        <v>0</v>
      </c>
      <c r="AL44" s="198">
        <f t="shared" si="4"/>
        <v>0</v>
      </c>
      <c r="AM44" s="199">
        <f t="shared" si="5"/>
        <v>0</v>
      </c>
      <c r="AN44" s="200"/>
      <c r="AO44" s="200"/>
      <c r="AP44" s="200"/>
      <c r="AQ44" s="201">
        <f t="shared" si="6"/>
        <v>0</v>
      </c>
      <c r="AR44" s="7"/>
      <c r="AS44" s="90" cm="1">
        <f t="array" ref="AS44">SUMPRODUCT(--(ISNUMBER(MATCH($C44:$AG44, Tagschichten, 0))) * (C$9:AG$9="FT"))</f>
        <v>0</v>
      </c>
      <c r="AT44" s="68" cm="1">
        <f t="array" ref="AT44">SUMPRODUCT(--(ISNUMBER(MATCH($C44:$AG44, Nachtschichten, 0))) * (C$9:AG$9="FT"))</f>
        <v>0</v>
      </c>
      <c r="AU44" s="91" cm="1">
        <f t="array" ref="AU44">SUMPRODUCT(--(ISNUMBER(MATCH($C44:$AG44, Tagschichten, 0))) * (C$9:AG$9&lt;&gt;"FT") * (C$8:AG$8=7))</f>
        <v>0</v>
      </c>
      <c r="AV44" s="95" cm="1">
        <f t="array" ref="AV44">SUMPRODUCT(--(ISNUMBER(MATCH($C44:$AG44, Nachtschichten, 0))) * (C$8:AG$8&gt;=6))</f>
        <v>0</v>
      </c>
      <c r="AW44" s="92" cm="1">
        <f t="array" ref="AW44">SUMPRODUCT(
    --(ISNUMBER(MATCH(C44:AF44, Nachtschichten, 0))) *
    ISNUMBER(MATCH(
        IF(D$6:AG$6="", C$6:AF$6+1, D$6:AG$6),
        Einstellungen!$B$8:$B$22, 0))
)+
IF(AND(
    NOT(ISBLANK(AG$6)),
    ISNUMBER(MATCH(AG44, Nachtschichten, 0)),
    ISNUMBER(MATCH(AG$6+1, Einstellungen!$B$8:$B$22, 0))
),
1, 0)+
IF(AND(
    ISNUMBER(MATCH(AG44, Nachtschichten, 0)),
    $C$95=12),
1, 0)</f>
        <v>0</v>
      </c>
    </row>
    <row r="45" spans="1:49" s="5" customFormat="1" ht="20" hidden="1" customHeight="1" x14ac:dyDescent="0.35">
      <c r="A45" s="106" t="str">
        <f>IF(B45="","",VLOOKUP(B45,Einstellungen!$E$9:$F$99,2,FALSE))</f>
        <v/>
      </c>
      <c r="B45" s="48"/>
      <c r="C45" s="23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2"/>
      <c r="AH45" s="150" cm="1">
        <f t="array" ref="AH45">SUMPRODUCT(ISNUMBER(MATCH($C45:$AG45, Tagschichten, 0)) * 1)</f>
        <v>0</v>
      </c>
      <c r="AI45" s="151" cm="1">
        <f t="array" ref="AI45">SUMPRODUCT(ISNUMBER(MATCH($C45:$AG45, Nachtschichten, 0)) * 1)</f>
        <v>0</v>
      </c>
      <c r="AJ45" s="157">
        <f t="shared" si="7"/>
        <v>0</v>
      </c>
      <c r="AK45" s="197">
        <f t="shared" si="3"/>
        <v>0</v>
      </c>
      <c r="AL45" s="198">
        <f t="shared" si="4"/>
        <v>0</v>
      </c>
      <c r="AM45" s="199">
        <f t="shared" si="5"/>
        <v>0</v>
      </c>
      <c r="AN45" s="200"/>
      <c r="AO45" s="200"/>
      <c r="AP45" s="200"/>
      <c r="AQ45" s="201">
        <f t="shared" si="6"/>
        <v>0</v>
      </c>
      <c r="AR45" s="7"/>
      <c r="AS45" s="90" cm="1">
        <f t="array" ref="AS45">SUMPRODUCT(--(ISNUMBER(MATCH($C45:$AG45, Tagschichten, 0))) * (C$9:AG$9="FT"))</f>
        <v>0</v>
      </c>
      <c r="AT45" s="68" cm="1">
        <f t="array" ref="AT45">SUMPRODUCT(--(ISNUMBER(MATCH($C45:$AG45, Nachtschichten, 0))) * (C$9:AG$9="FT"))</f>
        <v>0</v>
      </c>
      <c r="AU45" s="91" cm="1">
        <f t="array" ref="AU45">SUMPRODUCT(--(ISNUMBER(MATCH($C45:$AG45, Tagschichten, 0))) * (C$9:AG$9&lt;&gt;"FT") * (C$8:AG$8=7))</f>
        <v>0</v>
      </c>
      <c r="AV45" s="95" cm="1">
        <f t="array" ref="AV45">SUMPRODUCT(--(ISNUMBER(MATCH($C45:$AG45, Nachtschichten, 0))) * (C$8:AG$8&gt;=6))</f>
        <v>0</v>
      </c>
      <c r="AW45" s="92" cm="1">
        <f t="array" ref="AW45">SUMPRODUCT(
    --(ISNUMBER(MATCH(C45:AF45, Nachtschichten, 0))) *
    ISNUMBER(MATCH(
        IF(D$6:AG$6="", C$6:AF$6+1, D$6:AG$6),
        Einstellungen!$B$8:$B$22, 0))
)+
IF(AND(
    NOT(ISBLANK(AG$6)),
    ISNUMBER(MATCH(AG45, Nachtschichten, 0)),
    ISNUMBER(MATCH(AG$6+1, Einstellungen!$B$8:$B$22, 0))
),
1, 0)+
IF(AND(
    ISNUMBER(MATCH(AG45, Nachtschichten, 0)),
    $C$95=12),
1, 0)</f>
        <v>0</v>
      </c>
    </row>
    <row r="46" spans="1:49" s="5" customFormat="1" ht="20" hidden="1" customHeight="1" x14ac:dyDescent="0.35">
      <c r="A46" s="106" t="str">
        <f>IF(B46="","",VLOOKUP(B46,Einstellungen!$E$9:$F$99,2,FALSE))</f>
        <v/>
      </c>
      <c r="B46" s="48"/>
      <c r="C46" s="23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2"/>
      <c r="AH46" s="150" cm="1">
        <f t="array" ref="AH46">SUMPRODUCT(ISNUMBER(MATCH($C46:$AG46, Tagschichten, 0)) * 1)</f>
        <v>0</v>
      </c>
      <c r="AI46" s="151" cm="1">
        <f t="array" ref="AI46">SUMPRODUCT(ISNUMBER(MATCH($C46:$AG46, Nachtschichten, 0)) * 1)</f>
        <v>0</v>
      </c>
      <c r="AJ46" s="157">
        <f t="shared" si="7"/>
        <v>0</v>
      </c>
      <c r="AK46" s="197">
        <f t="shared" si="3"/>
        <v>0</v>
      </c>
      <c r="AL46" s="198">
        <f t="shared" si="4"/>
        <v>0</v>
      </c>
      <c r="AM46" s="199">
        <f t="shared" si="5"/>
        <v>0</v>
      </c>
      <c r="AN46" s="200"/>
      <c r="AO46" s="200"/>
      <c r="AP46" s="200"/>
      <c r="AQ46" s="201">
        <f t="shared" si="6"/>
        <v>0</v>
      </c>
      <c r="AR46" s="7"/>
      <c r="AS46" s="90" cm="1">
        <f t="array" ref="AS46">SUMPRODUCT(--(ISNUMBER(MATCH($C46:$AG46, Tagschichten, 0))) * (C$9:AG$9="FT"))</f>
        <v>0</v>
      </c>
      <c r="AT46" s="68" cm="1">
        <f t="array" ref="AT46">SUMPRODUCT(--(ISNUMBER(MATCH($C46:$AG46, Nachtschichten, 0))) * (C$9:AG$9="FT"))</f>
        <v>0</v>
      </c>
      <c r="AU46" s="91" cm="1">
        <f t="array" ref="AU46">SUMPRODUCT(--(ISNUMBER(MATCH($C46:$AG46, Tagschichten, 0))) * (C$9:AG$9&lt;&gt;"FT") * (C$8:AG$8=7))</f>
        <v>0</v>
      </c>
      <c r="AV46" s="95" cm="1">
        <f t="array" ref="AV46">SUMPRODUCT(--(ISNUMBER(MATCH($C46:$AG46, Nachtschichten, 0))) * (C$8:AG$8&gt;=6))</f>
        <v>0</v>
      </c>
      <c r="AW46" s="92" cm="1">
        <f t="array" ref="AW46">SUMPRODUCT(
    --(ISNUMBER(MATCH(C46:AF46, Nachtschichten, 0))) *
    ISNUMBER(MATCH(
        IF(D$6:AG$6="", C$6:AF$6+1, D$6:AG$6),
        Einstellungen!$B$8:$B$22, 0))
)+
IF(AND(
    NOT(ISBLANK(AG$6)),
    ISNUMBER(MATCH(AG46, Nachtschichten, 0)),
    ISNUMBER(MATCH(AG$6+1, Einstellungen!$B$8:$B$22, 0))
),
1, 0)+
IF(AND(
    ISNUMBER(MATCH(AG46, Nachtschichten, 0)),
    $C$95=12),
1, 0)</f>
        <v>0</v>
      </c>
    </row>
    <row r="47" spans="1:49" s="5" customFormat="1" ht="20" hidden="1" customHeight="1" x14ac:dyDescent="0.35">
      <c r="A47" s="106" t="str">
        <f>IF(B47="","",VLOOKUP(B47,Einstellungen!$E$9:$F$99,2,FALSE))</f>
        <v/>
      </c>
      <c r="B47" s="48"/>
      <c r="C47" s="23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41"/>
      <c r="AH47" s="150" cm="1">
        <f t="array" ref="AH47">SUMPRODUCT(ISNUMBER(MATCH($C47:$AG47, Tagschichten, 0)) * 1)</f>
        <v>0</v>
      </c>
      <c r="AI47" s="151" cm="1">
        <f t="array" ref="AI47">SUMPRODUCT(ISNUMBER(MATCH($C47:$AG47, Nachtschichten, 0)) * 1)</f>
        <v>0</v>
      </c>
      <c r="AJ47" s="157">
        <f t="shared" si="7"/>
        <v>0</v>
      </c>
      <c r="AK47" s="197">
        <f t="shared" si="3"/>
        <v>0</v>
      </c>
      <c r="AL47" s="198">
        <f t="shared" si="4"/>
        <v>0</v>
      </c>
      <c r="AM47" s="199">
        <f t="shared" si="5"/>
        <v>0</v>
      </c>
      <c r="AN47" s="200"/>
      <c r="AO47" s="200"/>
      <c r="AP47" s="200"/>
      <c r="AQ47" s="201">
        <f t="shared" si="6"/>
        <v>0</v>
      </c>
      <c r="AR47" s="7"/>
      <c r="AS47" s="90" cm="1">
        <f t="array" ref="AS47">SUMPRODUCT(--(ISNUMBER(MATCH($C47:$AG47, Tagschichten, 0))) * (C$9:AG$9="FT"))</f>
        <v>0</v>
      </c>
      <c r="AT47" s="68" cm="1">
        <f t="array" ref="AT47">SUMPRODUCT(--(ISNUMBER(MATCH($C47:$AG47, Nachtschichten, 0))) * (C$9:AG$9="FT"))</f>
        <v>0</v>
      </c>
      <c r="AU47" s="91" cm="1">
        <f t="array" ref="AU47">SUMPRODUCT(--(ISNUMBER(MATCH($C47:$AG47, Tagschichten, 0))) * (C$9:AG$9&lt;&gt;"FT") * (C$8:AG$8=7))</f>
        <v>0</v>
      </c>
      <c r="AV47" s="95" cm="1">
        <f t="array" ref="AV47">SUMPRODUCT(--(ISNUMBER(MATCH($C47:$AG47, Nachtschichten, 0))) * (C$8:AG$8&gt;=6))</f>
        <v>0</v>
      </c>
      <c r="AW47" s="92" cm="1">
        <f t="array" ref="AW47">SUMPRODUCT(
    --(ISNUMBER(MATCH(C47:AF47, Nachtschichten, 0))) *
    ISNUMBER(MATCH(
        IF(D$6:AG$6="", C$6:AF$6+1, D$6:AG$6),
        Einstellungen!$B$8:$B$22, 0))
)+
IF(AND(
    NOT(ISBLANK(AG$6)),
    ISNUMBER(MATCH(AG47, Nachtschichten, 0)),
    ISNUMBER(MATCH(AG$6+1, Einstellungen!$B$8:$B$22, 0))
),
1, 0)+
IF(AND(
    ISNUMBER(MATCH(AG47, Nachtschichten, 0)),
    $C$95=12),
1, 0)</f>
        <v>0</v>
      </c>
    </row>
    <row r="48" spans="1:49" s="5" customFormat="1" ht="20" hidden="1" customHeight="1" x14ac:dyDescent="0.35">
      <c r="A48" s="106" t="str">
        <f>IF(B48="","",VLOOKUP(B48,Einstellungen!$E$9:$F$99,2,FALSE))</f>
        <v/>
      </c>
      <c r="B48" s="48"/>
      <c r="C48" s="23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41"/>
      <c r="AH48" s="150" cm="1">
        <f t="array" ref="AH48">SUMPRODUCT(ISNUMBER(MATCH($C48:$AG48, Tagschichten, 0)) * 1)</f>
        <v>0</v>
      </c>
      <c r="AI48" s="151" cm="1">
        <f t="array" ref="AI48">SUMPRODUCT(ISNUMBER(MATCH($C48:$AG48, Nachtschichten, 0)) * 1)</f>
        <v>0</v>
      </c>
      <c r="AJ48" s="157">
        <f t="shared" si="7"/>
        <v>0</v>
      </c>
      <c r="AK48" s="197">
        <f t="shared" si="3"/>
        <v>0</v>
      </c>
      <c r="AL48" s="198">
        <f t="shared" si="4"/>
        <v>0</v>
      </c>
      <c r="AM48" s="199">
        <f t="shared" si="5"/>
        <v>0</v>
      </c>
      <c r="AN48" s="200"/>
      <c r="AO48" s="200"/>
      <c r="AP48" s="200"/>
      <c r="AQ48" s="201">
        <f t="shared" si="6"/>
        <v>0</v>
      </c>
      <c r="AR48" s="7"/>
      <c r="AS48" s="90" cm="1">
        <f t="array" ref="AS48">SUMPRODUCT(--(ISNUMBER(MATCH($C48:$AG48, Tagschichten, 0))) * (C$9:AG$9="FT"))</f>
        <v>0</v>
      </c>
      <c r="AT48" s="68" cm="1">
        <f t="array" ref="AT48">SUMPRODUCT(--(ISNUMBER(MATCH($C48:$AG48, Nachtschichten, 0))) * (C$9:AG$9="FT"))</f>
        <v>0</v>
      </c>
      <c r="AU48" s="91" cm="1">
        <f t="array" ref="AU48">SUMPRODUCT(--(ISNUMBER(MATCH($C48:$AG48, Tagschichten, 0))) * (C$9:AG$9&lt;&gt;"FT") * (C$8:AG$8=7))</f>
        <v>0</v>
      </c>
      <c r="AV48" s="95" cm="1">
        <f t="array" ref="AV48">SUMPRODUCT(--(ISNUMBER(MATCH($C48:$AG48, Nachtschichten, 0))) * (C$8:AG$8&gt;=6))</f>
        <v>0</v>
      </c>
      <c r="AW48" s="92" cm="1">
        <f t="array" ref="AW48">SUMPRODUCT(
    --(ISNUMBER(MATCH(C48:AF48, Nachtschichten, 0))) *
    ISNUMBER(MATCH(
        IF(D$6:AG$6="", C$6:AF$6+1, D$6:AG$6),
        Einstellungen!$B$8:$B$22, 0))
)+
IF(AND(
    NOT(ISBLANK(AG$6)),
    ISNUMBER(MATCH(AG48, Nachtschichten, 0)),
    ISNUMBER(MATCH(AG$6+1, Einstellungen!$B$8:$B$22, 0))
),
1, 0)+
IF(AND(
    ISNUMBER(MATCH(AG48, Nachtschichten, 0)),
    $C$95=12),
1, 0)</f>
        <v>0</v>
      </c>
    </row>
    <row r="49" spans="1:56" s="5" customFormat="1" ht="20" hidden="1" customHeight="1" thickBot="1" x14ac:dyDescent="0.4">
      <c r="A49" s="106" t="str">
        <f>IF(B49="","",VLOOKUP(B49,Einstellungen!$E$9:$F$99,2,FALSE))</f>
        <v/>
      </c>
      <c r="B49" s="49"/>
      <c r="C49" s="232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131"/>
      <c r="AH49" s="152" cm="1">
        <f t="array" ref="AH49">SUMPRODUCT(ISNUMBER(MATCH($C49:$AG49, Tagschichten, 0)) * 1)</f>
        <v>0</v>
      </c>
      <c r="AI49" s="153" cm="1">
        <f t="array" ref="AI49">SUMPRODUCT(ISNUMBER(MATCH($C49:$AG49, Nachtschichten, 0)) * 1)</f>
        <v>0</v>
      </c>
      <c r="AJ49" s="158">
        <f t="shared" si="7"/>
        <v>0</v>
      </c>
      <c r="AK49" s="202">
        <f t="shared" si="3"/>
        <v>0</v>
      </c>
      <c r="AL49" s="203">
        <f t="shared" si="4"/>
        <v>0</v>
      </c>
      <c r="AM49" s="204">
        <f t="shared" si="5"/>
        <v>0</v>
      </c>
      <c r="AN49" s="200"/>
      <c r="AO49" s="200"/>
      <c r="AP49" s="200"/>
      <c r="AQ49" s="205">
        <f t="shared" si="6"/>
        <v>0</v>
      </c>
      <c r="AR49" s="7"/>
      <c r="AS49" s="90" cm="1">
        <f t="array" ref="AS49">SUMPRODUCT(--(ISNUMBER(MATCH($C49:$AG49, Tagschichten, 0))) * (C$9:AG$9="FT"))</f>
        <v>0</v>
      </c>
      <c r="AT49" s="68" cm="1">
        <f t="array" ref="AT49">SUMPRODUCT(--(ISNUMBER(MATCH($C49:$AG49, Nachtschichten, 0))) * (C$9:AG$9="FT"))</f>
        <v>0</v>
      </c>
      <c r="AU49" s="91" cm="1">
        <f t="array" ref="AU49">SUMPRODUCT(--(ISNUMBER(MATCH($C49:$AG49, Tagschichten, 0))) * (C$9:AG$9&lt;&gt;"FT") * (C$8:AG$8=7))</f>
        <v>0</v>
      </c>
      <c r="AV49" s="95" cm="1">
        <f t="array" ref="AV49">SUMPRODUCT(--(ISNUMBER(MATCH($C49:$AG49, Nachtschichten, 0))) * (C$8:AG$8&gt;=6))</f>
        <v>0</v>
      </c>
      <c r="AW49" s="92" cm="1">
        <f t="array" ref="AW49">SUMPRODUCT(
    --(ISNUMBER(MATCH(C49:AF49, Nachtschichten, 0))) *
    ISNUMBER(MATCH(
        IF(D$6:AG$6="", C$6:AF$6+1, D$6:AG$6),
        Einstellungen!$B$8:$B$22, 0))
)+
IF(AND(
    NOT(ISBLANK(AG$6)),
    ISNUMBER(MATCH(AG49, Nachtschichten, 0)),
    ISNUMBER(MATCH(AG$6+1, Einstellungen!$B$8:$B$22, 0))
),
1, 0)+
IF(AND(
    ISNUMBER(MATCH(AG49, Nachtschichten, 0)),
    $C$95=12),
1, 0)</f>
        <v>0</v>
      </c>
    </row>
    <row r="50" spans="1:56" s="7" customFormat="1" ht="27" customHeight="1" thickBot="1" x14ac:dyDescent="0.4">
      <c r="A50" s="117"/>
      <c r="B50" s="24" t="s">
        <v>60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93">
        <f>SUM(AH$10:AH$49)</f>
        <v>0</v>
      </c>
      <c r="AI50" s="94">
        <f>SUM(AI$10:AI$49)</f>
        <v>0</v>
      </c>
      <c r="AJ50" s="159">
        <f t="shared" ref="AJ50:AQ50" si="8">SUM(AJ$10:AJ$49)</f>
        <v>0</v>
      </c>
      <c r="AK50" s="154">
        <f t="shared" si="8"/>
        <v>0</v>
      </c>
      <c r="AL50" s="94">
        <f t="shared" si="8"/>
        <v>0</v>
      </c>
      <c r="AM50" s="94">
        <f t="shared" si="8"/>
        <v>0</v>
      </c>
      <c r="AN50" s="94">
        <f t="shared" si="8"/>
        <v>0</v>
      </c>
      <c r="AO50" s="94">
        <f t="shared" si="8"/>
        <v>0</v>
      </c>
      <c r="AP50" s="94">
        <f>AN50 - AO50</f>
        <v>0</v>
      </c>
      <c r="AQ50" s="98">
        <f t="shared" si="8"/>
        <v>0</v>
      </c>
      <c r="AS50" s="16"/>
      <c r="AT50" s="16"/>
      <c r="AW50" s="16"/>
    </row>
    <row r="51" spans="1:56" s="7" customFormat="1" ht="16" customHeight="1" x14ac:dyDescent="0.35">
      <c r="A51" s="118"/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3"/>
      <c r="AS51" s="16"/>
      <c r="AT51" s="16"/>
      <c r="AU51" s="16"/>
      <c r="AV51" s="16"/>
      <c r="AW51" s="16"/>
      <c r="AX51" s="16"/>
      <c r="AY51" s="16"/>
      <c r="AZ51" s="16"/>
      <c r="BA51" s="16"/>
      <c r="BC51" s="16"/>
      <c r="BD51" s="16"/>
    </row>
    <row r="52" spans="1:56" s="7" customFormat="1" ht="19.25" customHeight="1" x14ac:dyDescent="0.35">
      <c r="A52" s="118"/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3"/>
      <c r="AS52" s="16"/>
      <c r="AT52" s="16"/>
      <c r="AW52" s="16"/>
    </row>
    <row r="53" spans="1:56" s="7" customFormat="1" ht="19.25" customHeight="1" x14ac:dyDescent="0.35">
      <c r="A53" s="118"/>
      <c r="B53" s="269" t="s">
        <v>64</v>
      </c>
      <c r="C53" s="269"/>
      <c r="D53" s="269"/>
      <c r="E53" s="269"/>
      <c r="F53" s="269"/>
      <c r="G53" s="269"/>
      <c r="H53" s="269"/>
      <c r="I53" s="269"/>
      <c r="K53" s="165" t="s">
        <v>30</v>
      </c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32"/>
      <c r="Y53" s="32"/>
      <c r="Z53" s="166"/>
      <c r="AA53" s="166"/>
      <c r="AB53" s="166"/>
      <c r="AC53" s="166"/>
      <c r="AD53" s="166"/>
      <c r="AE53" s="166"/>
      <c r="AF53" s="166"/>
      <c r="AG53" s="166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3"/>
      <c r="AS53" s="16"/>
      <c r="AT53" s="16"/>
      <c r="AW53" s="16"/>
    </row>
    <row r="54" spans="1:56" s="5" customFormat="1" ht="20" customHeight="1" x14ac:dyDescent="0.35">
      <c r="A54" s="118"/>
      <c r="B54" s="270" t="s">
        <v>75</v>
      </c>
      <c r="C54" s="270"/>
      <c r="D54" s="270"/>
      <c r="E54" s="270"/>
      <c r="F54" s="270"/>
      <c r="G54" s="270"/>
      <c r="H54" s="270"/>
      <c r="I54" s="270"/>
      <c r="J54" s="7"/>
      <c r="K54" s="177"/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7"/>
      <c r="X54" s="179"/>
      <c r="Y54" s="27"/>
      <c r="Z54" s="27"/>
      <c r="AA54" s="27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63"/>
      <c r="AS54" s="16"/>
      <c r="AT54" s="16"/>
      <c r="AU54" s="7"/>
      <c r="AV54" s="7"/>
      <c r="AW54" s="16"/>
      <c r="AX54" s="7"/>
      <c r="AY54" s="7"/>
    </row>
    <row r="55" spans="1:56" s="14" customFormat="1" ht="20" customHeight="1" x14ac:dyDescent="0.25">
      <c r="A55" s="119"/>
      <c r="B55" s="271"/>
      <c r="C55" s="271"/>
      <c r="D55" s="271"/>
      <c r="E55" s="271"/>
      <c r="F55" s="271"/>
      <c r="G55" s="271"/>
      <c r="H55" s="271"/>
      <c r="I55" s="271"/>
      <c r="J55" s="10"/>
      <c r="K55" s="183" t="s">
        <v>81</v>
      </c>
      <c r="L55" s="184" t="s">
        <v>99</v>
      </c>
      <c r="M55" s="184"/>
      <c r="N55" s="26"/>
      <c r="O55" s="26"/>
      <c r="P55" s="184"/>
      <c r="Q55" s="184"/>
      <c r="R55" s="188" t="s">
        <v>82</v>
      </c>
      <c r="S55" s="185" t="s">
        <v>101</v>
      </c>
      <c r="T55" s="26"/>
      <c r="U55" s="26"/>
      <c r="V55" s="26"/>
      <c r="W55" s="185"/>
      <c r="X55" s="73"/>
      <c r="Y55" s="73"/>
      <c r="Z55" s="167" t="s">
        <v>57</v>
      </c>
      <c r="AA55" s="167"/>
      <c r="AB55" s="181">
        <v>1</v>
      </c>
      <c r="AC55" s="167"/>
      <c r="AD55" s="167"/>
      <c r="AE55" s="28"/>
      <c r="AF55" s="28"/>
      <c r="AG55" s="28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163"/>
      <c r="AS55" s="16"/>
      <c r="AT55" s="16"/>
      <c r="AU55" s="10"/>
      <c r="AV55" s="10"/>
      <c r="AW55" s="16"/>
      <c r="AX55" s="10"/>
      <c r="AY55" s="10"/>
    </row>
    <row r="56" spans="1:56" s="14" customFormat="1" ht="20" customHeight="1" x14ac:dyDescent="0.25">
      <c r="A56" s="119"/>
      <c r="B56" s="271"/>
      <c r="C56" s="271"/>
      <c r="D56" s="271"/>
      <c r="E56" s="271"/>
      <c r="F56" s="271"/>
      <c r="G56" s="271"/>
      <c r="H56" s="271"/>
      <c r="I56" s="271"/>
      <c r="J56" s="10"/>
      <c r="K56" s="186" t="s">
        <v>17</v>
      </c>
      <c r="L56" s="184" t="s">
        <v>100</v>
      </c>
      <c r="M56" s="184"/>
      <c r="N56" s="26"/>
      <c r="O56" s="26"/>
      <c r="P56" s="184"/>
      <c r="Q56" s="184"/>
      <c r="R56" s="190" t="s">
        <v>18</v>
      </c>
      <c r="S56" s="185" t="s">
        <v>102</v>
      </c>
      <c r="T56" s="26"/>
      <c r="U56" s="26"/>
      <c r="V56" s="26"/>
      <c r="W56" s="185"/>
      <c r="X56" s="73"/>
      <c r="Y56" s="73"/>
      <c r="Z56" s="32" t="s">
        <v>31</v>
      </c>
      <c r="AA56" s="32"/>
      <c r="AB56" s="182"/>
      <c r="AC56" s="28"/>
      <c r="AD56" s="28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163"/>
      <c r="AS56" s="16"/>
      <c r="AT56" s="16"/>
      <c r="AU56" s="10"/>
      <c r="AV56" s="10"/>
      <c r="AW56" s="16"/>
      <c r="AX56" s="10"/>
      <c r="AY56" s="10"/>
    </row>
    <row r="57" spans="1:56" s="14" customFormat="1" ht="20" customHeight="1" x14ac:dyDescent="0.25">
      <c r="A57" s="119"/>
      <c r="B57" s="272"/>
      <c r="C57" s="272"/>
      <c r="D57" s="272"/>
      <c r="E57" s="272"/>
      <c r="F57" s="272"/>
      <c r="G57" s="272"/>
      <c r="H57" s="272"/>
      <c r="I57" s="272"/>
      <c r="J57" s="10"/>
      <c r="K57" s="191"/>
      <c r="L57" s="184"/>
      <c r="M57" s="184"/>
      <c r="N57" s="26"/>
      <c r="O57" s="26"/>
      <c r="P57" s="184"/>
      <c r="Q57" s="184"/>
      <c r="R57" s="192"/>
      <c r="S57" s="185"/>
      <c r="T57" s="26"/>
      <c r="U57" s="26"/>
      <c r="V57" s="26"/>
      <c r="W57" s="26"/>
      <c r="X57" s="185"/>
      <c r="Y57" s="121"/>
      <c r="Z57" s="161"/>
      <c r="AA57" s="161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163"/>
      <c r="AS57" s="16"/>
      <c r="AT57" s="16"/>
      <c r="AU57" s="10"/>
      <c r="AV57" s="10"/>
      <c r="AW57" s="16"/>
      <c r="AX57" s="10"/>
      <c r="AY57" s="10"/>
    </row>
    <row r="58" spans="1:56" s="14" customFormat="1" ht="20" customHeight="1" x14ac:dyDescent="0.25">
      <c r="A58" s="119"/>
      <c r="B58" s="275"/>
      <c r="C58" s="275"/>
      <c r="D58" s="275"/>
      <c r="E58" s="275"/>
      <c r="F58" s="275"/>
      <c r="G58" s="275"/>
      <c r="H58" s="275"/>
      <c r="I58" s="275"/>
      <c r="J58" s="10"/>
      <c r="K58" s="191"/>
      <c r="L58" s="184"/>
      <c r="M58" s="241"/>
      <c r="N58" s="242"/>
      <c r="O58" s="241"/>
      <c r="P58" s="184"/>
      <c r="Q58" s="184"/>
      <c r="R58" s="192"/>
      <c r="S58" s="185"/>
      <c r="T58" s="26"/>
      <c r="U58" s="26"/>
      <c r="V58" s="26"/>
      <c r="W58" s="185"/>
      <c r="X58" s="185"/>
      <c r="Y58" s="121"/>
      <c r="Z58" s="161" t="s">
        <v>77</v>
      </c>
      <c r="AA58" s="161"/>
      <c r="AB58" s="274" t="str">
        <f>$C$96</f>
        <v>Objektleitername</v>
      </c>
      <c r="AC58" s="274"/>
      <c r="AD58" s="274"/>
      <c r="AE58" s="274"/>
      <c r="AF58" s="274"/>
      <c r="AG58" s="274"/>
      <c r="AH58" s="274"/>
      <c r="AI58" s="274"/>
      <c r="AJ58" s="274"/>
      <c r="AK58" s="32"/>
      <c r="AL58" s="32"/>
      <c r="AM58" s="32"/>
      <c r="AN58" s="32"/>
      <c r="AO58" s="32"/>
      <c r="AP58" s="32"/>
      <c r="AQ58" s="32"/>
      <c r="AR58" s="163"/>
      <c r="AS58" s="16"/>
      <c r="AT58" s="16"/>
      <c r="AU58" s="10"/>
      <c r="AV58" s="10"/>
      <c r="AW58" s="16"/>
      <c r="AX58" s="10"/>
      <c r="AY58" s="10"/>
    </row>
    <row r="59" spans="1:56" s="5" customFormat="1" ht="20" customHeight="1" x14ac:dyDescent="0.4">
      <c r="A59" s="118"/>
      <c r="B59" s="275"/>
      <c r="C59" s="275"/>
      <c r="D59" s="275"/>
      <c r="E59" s="275"/>
      <c r="F59" s="275"/>
      <c r="G59" s="275"/>
      <c r="H59" s="275"/>
      <c r="I59" s="275"/>
      <c r="J59" s="27"/>
      <c r="K59" s="242"/>
      <c r="L59" s="243"/>
      <c r="M59" s="12"/>
      <c r="N59" s="12"/>
      <c r="O59" s="12"/>
      <c r="P59" s="12"/>
      <c r="Q59" s="12"/>
      <c r="R59" s="242"/>
      <c r="S59" s="243"/>
      <c r="T59" s="185"/>
      <c r="U59" s="185"/>
      <c r="V59" s="185"/>
      <c r="W59" s="185"/>
      <c r="X59" s="185"/>
      <c r="Y59" s="234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3"/>
      <c r="AS59" s="16"/>
      <c r="AT59" s="16"/>
      <c r="AU59" s="7"/>
      <c r="AV59" s="7"/>
      <c r="AW59" s="16"/>
      <c r="AX59" s="7"/>
      <c r="AY59" s="7"/>
    </row>
    <row r="60" spans="1:56" s="5" customFormat="1" ht="20" customHeight="1" x14ac:dyDescent="0.35">
      <c r="A60" s="118"/>
      <c r="B60" s="275"/>
      <c r="C60" s="275"/>
      <c r="D60" s="275"/>
      <c r="E60" s="275"/>
      <c r="F60" s="275"/>
      <c r="G60" s="275"/>
      <c r="H60" s="275"/>
      <c r="I60" s="275"/>
      <c r="J60" s="27"/>
      <c r="K60" s="192"/>
      <c r="L60" s="184"/>
      <c r="M60" s="184"/>
      <c r="N60" s="184"/>
      <c r="O60" s="184"/>
      <c r="P60" s="184"/>
      <c r="Q60" s="191"/>
      <c r="R60" s="192"/>
      <c r="S60" s="185"/>
      <c r="T60" s="185"/>
      <c r="U60" s="185"/>
      <c r="V60" s="185"/>
      <c r="W60" s="185"/>
      <c r="X60" s="122"/>
      <c r="Y60" s="122"/>
      <c r="Z60" s="32" t="s">
        <v>78</v>
      </c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161"/>
      <c r="AL60" s="161"/>
      <c r="AM60" s="161"/>
      <c r="AN60" s="161"/>
      <c r="AO60" s="161"/>
      <c r="AP60" s="161"/>
      <c r="AQ60" s="161"/>
      <c r="AR60" s="163"/>
      <c r="AS60" s="16"/>
      <c r="AT60" s="16"/>
      <c r="AU60" s="7"/>
      <c r="AV60" s="7"/>
      <c r="AW60" s="16"/>
      <c r="AX60" s="7"/>
      <c r="AY60" s="7"/>
    </row>
    <row r="61" spans="1:56" s="5" customFormat="1" ht="20" customHeight="1" x14ac:dyDescent="0.35">
      <c r="A61" s="118"/>
      <c r="B61" s="27"/>
      <c r="C61" s="27"/>
      <c r="D61" s="27"/>
      <c r="E61" s="27"/>
      <c r="F61" s="27"/>
      <c r="G61" s="27"/>
      <c r="H61" s="27"/>
      <c r="I61" s="27"/>
      <c r="J61" s="27"/>
      <c r="K61" s="244" t="s">
        <v>19</v>
      </c>
      <c r="L61" s="184" t="s">
        <v>58</v>
      </c>
      <c r="M61" s="184"/>
      <c r="N61" s="184"/>
      <c r="O61" s="184"/>
      <c r="P61" s="184"/>
      <c r="Q61" s="184"/>
      <c r="R61" s="189" t="s">
        <v>56</v>
      </c>
      <c r="S61" s="185" t="s">
        <v>60</v>
      </c>
      <c r="T61" s="185"/>
      <c r="U61" s="185"/>
      <c r="V61" s="185"/>
      <c r="W61" s="185"/>
      <c r="X61" s="122"/>
      <c r="Y61" s="122"/>
      <c r="Z61" s="165"/>
      <c r="AA61" s="161"/>
      <c r="AB61" s="32"/>
      <c r="AC61" s="32"/>
      <c r="AD61" s="32"/>
      <c r="AE61" s="32"/>
      <c r="AF61" s="32"/>
      <c r="AG61" s="32"/>
      <c r="AH61" s="32"/>
      <c r="AI61" s="32"/>
      <c r="AJ61" s="32"/>
      <c r="AK61" s="161"/>
      <c r="AL61" s="161"/>
      <c r="AM61" s="161"/>
      <c r="AN61" s="161"/>
      <c r="AO61" s="161"/>
      <c r="AP61" s="161"/>
      <c r="AQ61" s="161"/>
      <c r="AR61" s="163"/>
      <c r="AS61" s="16"/>
      <c r="AT61" s="16"/>
      <c r="AU61" s="7"/>
      <c r="AV61" s="7"/>
      <c r="AW61" s="16"/>
      <c r="AX61" s="7"/>
      <c r="AY61" s="7"/>
    </row>
    <row r="62" spans="1:56" s="5" customFormat="1" ht="20" customHeight="1" x14ac:dyDescent="0.35">
      <c r="A62" s="118"/>
      <c r="B62" s="168"/>
      <c r="C62" s="27"/>
      <c r="D62" s="27"/>
      <c r="E62" s="27"/>
      <c r="F62" s="27"/>
      <c r="G62" s="27"/>
      <c r="H62" s="27"/>
      <c r="I62" s="27"/>
      <c r="J62" s="27"/>
      <c r="K62" s="187" t="s">
        <v>51</v>
      </c>
      <c r="L62" s="184" t="s">
        <v>59</v>
      </c>
      <c r="M62" s="184"/>
      <c r="N62" s="184"/>
      <c r="O62" s="235"/>
      <c r="P62" s="235"/>
      <c r="Q62" s="236"/>
      <c r="R62" s="192"/>
      <c r="S62" s="236"/>
      <c r="T62" s="236"/>
      <c r="U62" s="236"/>
      <c r="V62" s="236"/>
      <c r="W62" s="236"/>
      <c r="X62" s="237"/>
      <c r="Y62" s="236"/>
      <c r="Z62" s="170"/>
      <c r="AA62" s="170"/>
      <c r="AB62" s="161"/>
      <c r="AC62" s="161"/>
      <c r="AD62" s="164"/>
      <c r="AE62" s="164"/>
      <c r="AF62" s="161"/>
      <c r="AG62" s="161"/>
      <c r="AH62" s="164"/>
      <c r="AI62" s="161"/>
      <c r="AJ62" s="161"/>
      <c r="AK62" s="161"/>
      <c r="AL62" s="161"/>
      <c r="AM62" s="161"/>
      <c r="AN62" s="161"/>
      <c r="AO62" s="161"/>
      <c r="AP62" s="161"/>
      <c r="AQ62" s="161"/>
      <c r="AR62" s="163"/>
      <c r="AS62" s="16"/>
      <c r="AT62" s="16"/>
      <c r="AU62" s="7"/>
      <c r="AV62" s="7"/>
      <c r="AW62" s="16"/>
      <c r="AX62" s="7"/>
      <c r="AY62" s="7"/>
    </row>
    <row r="63" spans="1:56" s="5" customFormat="1" ht="20" customHeight="1" x14ac:dyDescent="0.35">
      <c r="A63" s="118"/>
      <c r="B63" s="27"/>
      <c r="C63" s="27"/>
      <c r="D63" s="27"/>
      <c r="E63" s="27"/>
      <c r="F63" s="27"/>
      <c r="G63" s="27"/>
      <c r="H63" s="27"/>
      <c r="I63" s="27"/>
      <c r="J63" s="27"/>
      <c r="K63" s="184"/>
      <c r="L63" s="184"/>
      <c r="M63" s="184"/>
      <c r="N63" s="184"/>
      <c r="O63" s="235"/>
      <c r="P63" s="235"/>
      <c r="Q63" s="236"/>
      <c r="R63" s="236"/>
      <c r="S63" s="236"/>
      <c r="T63" s="236"/>
      <c r="U63" s="236"/>
      <c r="V63" s="236"/>
      <c r="W63" s="236"/>
      <c r="X63" s="236"/>
      <c r="Y63" s="236"/>
      <c r="Z63" s="170"/>
      <c r="AA63" s="170"/>
      <c r="AB63" s="161"/>
      <c r="AC63" s="161"/>
      <c r="AD63" s="164"/>
      <c r="AE63" s="164"/>
      <c r="AF63" s="169"/>
      <c r="AG63" s="169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3"/>
      <c r="AS63" s="16"/>
      <c r="AT63" s="16"/>
      <c r="AU63" s="7"/>
      <c r="AV63" s="7"/>
      <c r="AW63" s="16"/>
      <c r="AX63" s="7"/>
      <c r="AY63" s="7"/>
    </row>
    <row r="64" spans="1:56" s="5" customFormat="1" ht="20" customHeight="1" x14ac:dyDescent="0.35">
      <c r="A64" s="118"/>
      <c r="B64" s="27"/>
      <c r="C64" s="27"/>
      <c r="D64" s="27"/>
      <c r="E64" s="27"/>
      <c r="F64" s="27"/>
      <c r="G64" s="27"/>
      <c r="H64" s="27"/>
      <c r="I64" s="27"/>
      <c r="J64" s="27"/>
      <c r="K64" s="184"/>
      <c r="L64" s="184"/>
      <c r="M64" s="184"/>
      <c r="N64" s="184"/>
      <c r="O64" s="235"/>
      <c r="P64" s="235"/>
      <c r="Q64" s="236"/>
      <c r="R64" s="236"/>
      <c r="S64" s="236"/>
      <c r="T64" s="236"/>
      <c r="U64" s="236"/>
      <c r="V64" s="236"/>
      <c r="W64" s="236"/>
      <c r="X64" s="236"/>
      <c r="Y64" s="236"/>
      <c r="Z64" s="170"/>
      <c r="AA64" s="170"/>
      <c r="AB64" s="169"/>
      <c r="AC64" s="169"/>
      <c r="AD64" s="169"/>
      <c r="AE64" s="169"/>
      <c r="AF64" s="169"/>
      <c r="AG64" s="169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3"/>
      <c r="AS64" s="16"/>
      <c r="AT64" s="16"/>
      <c r="AU64" s="7"/>
      <c r="AV64" s="7"/>
      <c r="AW64" s="16"/>
      <c r="AX64" s="7"/>
      <c r="AY64" s="7"/>
    </row>
    <row r="65" spans="1:51" s="5" customFormat="1" ht="20" customHeight="1" thickBot="1" x14ac:dyDescent="0.4">
      <c r="A65" s="118"/>
      <c r="B65" s="171"/>
      <c r="C65" s="171"/>
      <c r="D65" s="171"/>
      <c r="E65" s="171"/>
      <c r="F65" s="171"/>
      <c r="G65" s="171"/>
      <c r="H65" s="171"/>
      <c r="I65" s="171"/>
      <c r="J65" s="171"/>
      <c r="K65" s="238"/>
      <c r="L65" s="238"/>
      <c r="M65" s="238"/>
      <c r="N65" s="238"/>
      <c r="O65" s="239"/>
      <c r="P65" s="239"/>
      <c r="Q65" s="240"/>
      <c r="R65" s="240"/>
      <c r="S65" s="240"/>
      <c r="T65" s="240"/>
      <c r="U65" s="240"/>
      <c r="V65" s="240"/>
      <c r="W65" s="240"/>
      <c r="X65" s="240"/>
      <c r="Y65" s="240"/>
      <c r="Z65" s="173"/>
      <c r="AA65" s="173"/>
      <c r="AB65" s="172"/>
      <c r="AC65" s="172"/>
      <c r="AD65" s="172"/>
      <c r="AE65" s="172"/>
      <c r="AF65" s="172"/>
      <c r="AG65" s="172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5"/>
      <c r="AS65" s="16"/>
      <c r="AT65" s="16"/>
      <c r="AU65" s="7"/>
      <c r="AV65" s="7"/>
      <c r="AW65" s="16"/>
      <c r="AX65" s="7"/>
      <c r="AY65" s="7"/>
    </row>
    <row r="66" spans="1:51" s="5" customFormat="1" ht="20" customHeight="1" x14ac:dyDescent="0.35">
      <c r="A66" s="11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9"/>
      <c r="P66" s="9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9"/>
      <c r="AC66" s="9"/>
      <c r="AD66" s="9"/>
      <c r="AE66" s="9"/>
      <c r="AF66" s="9"/>
      <c r="AG66" s="9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7"/>
      <c r="AS66" s="16"/>
      <c r="AT66" s="16"/>
      <c r="AU66" s="7"/>
      <c r="AV66" s="7"/>
      <c r="AW66" s="16"/>
      <c r="AX66" s="7"/>
      <c r="AY66" s="7"/>
    </row>
    <row r="67" spans="1:51" s="5" customFormat="1" ht="20" customHeight="1" x14ac:dyDescent="0.35">
      <c r="A67" s="118"/>
      <c r="B67" s="276" t="s">
        <v>33</v>
      </c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9"/>
      <c r="P67" s="9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9"/>
      <c r="AC67" s="9"/>
      <c r="AD67" s="9"/>
      <c r="AE67" s="9"/>
      <c r="AF67" s="9"/>
      <c r="AG67" s="9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7"/>
      <c r="AS67" s="16"/>
      <c r="AT67" s="16"/>
      <c r="AU67" s="7"/>
      <c r="AV67" s="7"/>
      <c r="AW67" s="16"/>
      <c r="AX67" s="7"/>
      <c r="AY67" s="7"/>
    </row>
    <row r="68" spans="1:51" s="5" customFormat="1" ht="20" customHeight="1" x14ac:dyDescent="0.35">
      <c r="A68" s="118"/>
      <c r="B68" s="272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9"/>
      <c r="P68" s="9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9"/>
      <c r="AC68" s="9"/>
      <c r="AD68" s="9"/>
      <c r="AE68" s="9"/>
      <c r="AF68" s="9"/>
      <c r="AG68" s="9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7"/>
      <c r="AS68" s="16"/>
      <c r="AT68" s="16"/>
      <c r="AU68" s="7"/>
      <c r="AV68" s="7"/>
      <c r="AW68" s="16"/>
      <c r="AX68" s="7"/>
      <c r="AY68" s="7"/>
    </row>
    <row r="69" spans="1:51" s="5" customFormat="1" ht="20" customHeight="1" x14ac:dyDescent="0.35">
      <c r="A69" s="118"/>
      <c r="B69" s="272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9"/>
      <c r="P69" s="9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9"/>
      <c r="AC69" s="9"/>
      <c r="AD69" s="9"/>
      <c r="AE69" s="9"/>
      <c r="AF69" s="9"/>
      <c r="AG69" s="9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7"/>
      <c r="AS69" s="16"/>
      <c r="AT69" s="16"/>
      <c r="AU69" s="7"/>
      <c r="AV69" s="7"/>
      <c r="AW69" s="16"/>
      <c r="AX69" s="7"/>
      <c r="AY69" s="7"/>
    </row>
    <row r="70" spans="1:51" s="5" customFormat="1" ht="20" customHeight="1" x14ac:dyDescent="0.35">
      <c r="A70" s="118"/>
      <c r="B70" s="272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  <c r="O70" s="9"/>
      <c r="P70" s="9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9"/>
      <c r="AC70" s="9"/>
      <c r="AD70" s="9"/>
      <c r="AE70" s="9"/>
      <c r="AF70" s="9"/>
      <c r="AG70" s="9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7"/>
      <c r="AS70" s="16"/>
      <c r="AT70" s="16"/>
      <c r="AU70" s="7"/>
      <c r="AV70" s="7"/>
      <c r="AW70" s="16"/>
      <c r="AX70" s="7"/>
      <c r="AY70" s="7"/>
    </row>
    <row r="71" spans="1:51" s="5" customFormat="1" ht="20" customHeight="1" x14ac:dyDescent="0.35">
      <c r="A71" s="118"/>
      <c r="B71" s="272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  <c r="O71" s="9"/>
      <c r="P71" s="9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9"/>
      <c r="AC71" s="9"/>
      <c r="AD71" s="9"/>
      <c r="AE71" s="9"/>
      <c r="AF71" s="9"/>
      <c r="AG71" s="9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7"/>
      <c r="AS71" s="16"/>
      <c r="AT71" s="16"/>
      <c r="AU71" s="7"/>
      <c r="AV71" s="7"/>
      <c r="AW71" s="16"/>
      <c r="AX71" s="7"/>
      <c r="AY71" s="7"/>
    </row>
    <row r="72" spans="1:51" s="5" customFormat="1" ht="20" customHeight="1" x14ac:dyDescent="0.35">
      <c r="A72" s="118"/>
      <c r="B72" s="272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  <c r="O72" s="9"/>
      <c r="P72" s="9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9"/>
      <c r="AC72" s="9"/>
      <c r="AD72" s="9"/>
      <c r="AE72" s="9"/>
      <c r="AF72" s="9"/>
      <c r="AG72" s="9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7"/>
      <c r="AS72" s="16"/>
      <c r="AT72" s="16"/>
      <c r="AU72" s="7"/>
      <c r="AV72" s="7"/>
      <c r="AW72" s="16"/>
      <c r="AX72" s="7"/>
      <c r="AY72" s="7"/>
    </row>
    <row r="73" spans="1:51" s="5" customFormat="1" ht="20" customHeight="1" x14ac:dyDescent="0.35">
      <c r="A73" s="118"/>
      <c r="B73" s="272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9"/>
      <c r="P73" s="9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9"/>
      <c r="AC73" s="9"/>
      <c r="AD73" s="9"/>
      <c r="AE73" s="9"/>
      <c r="AF73" s="9"/>
      <c r="AG73" s="9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7"/>
      <c r="AS73" s="16"/>
      <c r="AT73" s="16"/>
      <c r="AU73" s="7"/>
      <c r="AV73" s="7"/>
      <c r="AW73" s="16"/>
      <c r="AX73" s="7"/>
      <c r="AY73" s="7"/>
    </row>
    <row r="74" spans="1:51" s="5" customFormat="1" ht="20" customHeight="1" x14ac:dyDescent="0.35">
      <c r="A74" s="118"/>
      <c r="B74" s="272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9"/>
      <c r="P74" s="9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9"/>
      <c r="AC74" s="9"/>
      <c r="AD74" s="9"/>
      <c r="AE74" s="9"/>
      <c r="AF74" s="9"/>
      <c r="AG74" s="9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7"/>
      <c r="AS74" s="16"/>
      <c r="AT74" s="16"/>
      <c r="AU74" s="7"/>
      <c r="AV74" s="7"/>
      <c r="AW74" s="16"/>
      <c r="AX74" s="7"/>
      <c r="AY74" s="7"/>
    </row>
    <row r="75" spans="1:51" s="5" customFormat="1" ht="20" customHeight="1" x14ac:dyDescent="0.35">
      <c r="A75" s="118"/>
      <c r="B75" s="272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9"/>
      <c r="P75" s="9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9"/>
      <c r="AC75" s="9"/>
      <c r="AD75" s="9"/>
      <c r="AE75" s="9"/>
      <c r="AF75" s="9"/>
      <c r="AG75" s="9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7"/>
      <c r="AS75" s="16"/>
      <c r="AT75" s="16"/>
      <c r="AU75" s="7"/>
      <c r="AV75" s="7"/>
      <c r="AW75" s="16"/>
      <c r="AX75" s="7"/>
      <c r="AY75" s="7"/>
    </row>
    <row r="76" spans="1:51" s="5" customFormat="1" ht="20" customHeight="1" x14ac:dyDescent="0.35">
      <c r="A76" s="118"/>
      <c r="B76" s="272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9"/>
      <c r="P76" s="9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9"/>
      <c r="AC76" s="9"/>
      <c r="AD76" s="9"/>
      <c r="AE76" s="9"/>
      <c r="AF76" s="9"/>
      <c r="AG76" s="9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7"/>
      <c r="AS76" s="16"/>
      <c r="AT76" s="16"/>
      <c r="AU76" s="7"/>
      <c r="AV76" s="7"/>
      <c r="AW76" s="16"/>
      <c r="AX76" s="7"/>
      <c r="AY76" s="7"/>
    </row>
    <row r="77" spans="1:51" s="5" customFormat="1" ht="20" customHeight="1" thickBot="1" x14ac:dyDescent="0.4">
      <c r="A77" s="118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9"/>
      <c r="AC77" s="9"/>
      <c r="AD77" s="9"/>
      <c r="AE77" s="9"/>
      <c r="AF77" s="9"/>
      <c r="AG77" s="9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7"/>
      <c r="AS77" s="16"/>
      <c r="AT77" s="16"/>
      <c r="AU77" s="7"/>
      <c r="AV77" s="7"/>
      <c r="AW77" s="16"/>
      <c r="AX77" s="7"/>
      <c r="AY77" s="7"/>
    </row>
    <row r="78" spans="1:51" s="7" customFormat="1" ht="39" customHeight="1" thickBot="1" x14ac:dyDescent="0.4">
      <c r="A78" s="118"/>
      <c r="B78" s="20" t="s">
        <v>27</v>
      </c>
      <c r="C78" s="160">
        <f>C7</f>
        <v>45627</v>
      </c>
      <c r="D78" s="160">
        <f t="shared" ref="D78:AG78" si="9">D7</f>
        <v>45628</v>
      </c>
      <c r="E78" s="160">
        <f t="shared" si="9"/>
        <v>45629</v>
      </c>
      <c r="F78" s="160">
        <f t="shared" si="9"/>
        <v>45630</v>
      </c>
      <c r="G78" s="160">
        <f t="shared" si="9"/>
        <v>45631</v>
      </c>
      <c r="H78" s="160">
        <f t="shared" si="9"/>
        <v>45632</v>
      </c>
      <c r="I78" s="160">
        <f t="shared" si="9"/>
        <v>45633</v>
      </c>
      <c r="J78" s="160">
        <f t="shared" si="9"/>
        <v>45634</v>
      </c>
      <c r="K78" s="160">
        <f t="shared" si="9"/>
        <v>45635</v>
      </c>
      <c r="L78" s="160">
        <f t="shared" si="9"/>
        <v>45636</v>
      </c>
      <c r="M78" s="160">
        <f t="shared" si="9"/>
        <v>45637</v>
      </c>
      <c r="N78" s="160">
        <f t="shared" si="9"/>
        <v>45638</v>
      </c>
      <c r="O78" s="160">
        <f t="shared" si="9"/>
        <v>45639</v>
      </c>
      <c r="P78" s="160">
        <f t="shared" si="9"/>
        <v>45640</v>
      </c>
      <c r="Q78" s="160">
        <f t="shared" si="9"/>
        <v>45641</v>
      </c>
      <c r="R78" s="160">
        <f t="shared" si="9"/>
        <v>45642</v>
      </c>
      <c r="S78" s="160">
        <f t="shared" si="9"/>
        <v>45643</v>
      </c>
      <c r="T78" s="160">
        <f t="shared" si="9"/>
        <v>45644</v>
      </c>
      <c r="U78" s="160">
        <f t="shared" si="9"/>
        <v>45645</v>
      </c>
      <c r="V78" s="160">
        <f t="shared" si="9"/>
        <v>45646</v>
      </c>
      <c r="W78" s="160">
        <f t="shared" si="9"/>
        <v>45647</v>
      </c>
      <c r="X78" s="160">
        <f t="shared" si="9"/>
        <v>45648</v>
      </c>
      <c r="Y78" s="160">
        <f t="shared" si="9"/>
        <v>45649</v>
      </c>
      <c r="Z78" s="160">
        <f t="shared" si="9"/>
        <v>45650</v>
      </c>
      <c r="AA78" s="160">
        <f t="shared" si="9"/>
        <v>45651</v>
      </c>
      <c r="AB78" s="160">
        <f t="shared" si="9"/>
        <v>45652</v>
      </c>
      <c r="AC78" s="160">
        <f t="shared" si="9"/>
        <v>45653</v>
      </c>
      <c r="AD78" s="160">
        <f t="shared" si="9"/>
        <v>45654</v>
      </c>
      <c r="AE78" s="160">
        <f t="shared" si="9"/>
        <v>45655</v>
      </c>
      <c r="AF78" s="160">
        <f t="shared" si="9"/>
        <v>45656</v>
      </c>
      <c r="AG78" s="160">
        <f t="shared" si="9"/>
        <v>45657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S78" s="16"/>
      <c r="AT78" s="16"/>
      <c r="AW78" s="16"/>
    </row>
    <row r="79" spans="1:51" s="10" customFormat="1" ht="26" customHeight="1" x14ac:dyDescent="0.25">
      <c r="A79" s="119"/>
      <c r="B79" s="124" t="str">
        <f t="shared" ref="B79:B86" si="10">IF(B99="", "", B99)</f>
        <v>Konsole Tag</v>
      </c>
      <c r="C79" s="54">
        <f t="shared" ref="C79:AG79" si="11">COUNTIF(C$10:C$49, $F$99)</f>
        <v>0</v>
      </c>
      <c r="D79" s="54">
        <f t="shared" si="11"/>
        <v>0</v>
      </c>
      <c r="E79" s="54">
        <f t="shared" si="11"/>
        <v>0</v>
      </c>
      <c r="F79" s="54">
        <f t="shared" si="11"/>
        <v>0</v>
      </c>
      <c r="G79" s="54">
        <f t="shared" si="11"/>
        <v>0</v>
      </c>
      <c r="H79" s="54">
        <f t="shared" si="11"/>
        <v>0</v>
      </c>
      <c r="I79" s="54">
        <f t="shared" si="11"/>
        <v>0</v>
      </c>
      <c r="J79" s="54">
        <f t="shared" si="11"/>
        <v>0</v>
      </c>
      <c r="K79" s="54">
        <f t="shared" si="11"/>
        <v>0</v>
      </c>
      <c r="L79" s="54">
        <f t="shared" si="11"/>
        <v>0</v>
      </c>
      <c r="M79" s="54">
        <f t="shared" si="11"/>
        <v>0</v>
      </c>
      <c r="N79" s="54">
        <f t="shared" si="11"/>
        <v>0</v>
      </c>
      <c r="O79" s="54">
        <f t="shared" si="11"/>
        <v>0</v>
      </c>
      <c r="P79" s="54">
        <f t="shared" si="11"/>
        <v>0</v>
      </c>
      <c r="Q79" s="54">
        <f t="shared" si="11"/>
        <v>0</v>
      </c>
      <c r="R79" s="54">
        <f t="shared" si="11"/>
        <v>0</v>
      </c>
      <c r="S79" s="54">
        <f t="shared" si="11"/>
        <v>0</v>
      </c>
      <c r="T79" s="54">
        <f t="shared" si="11"/>
        <v>0</v>
      </c>
      <c r="U79" s="54">
        <f t="shared" si="11"/>
        <v>0</v>
      </c>
      <c r="V79" s="54">
        <f t="shared" si="11"/>
        <v>0</v>
      </c>
      <c r="W79" s="54">
        <f t="shared" si="11"/>
        <v>0</v>
      </c>
      <c r="X79" s="54">
        <f t="shared" si="11"/>
        <v>0</v>
      </c>
      <c r="Y79" s="54">
        <f t="shared" si="11"/>
        <v>0</v>
      </c>
      <c r="Z79" s="54">
        <f t="shared" si="11"/>
        <v>0</v>
      </c>
      <c r="AA79" s="54">
        <f t="shared" si="11"/>
        <v>0</v>
      </c>
      <c r="AB79" s="54">
        <f t="shared" si="11"/>
        <v>0</v>
      </c>
      <c r="AC79" s="54">
        <f t="shared" si="11"/>
        <v>0</v>
      </c>
      <c r="AD79" s="54">
        <f t="shared" si="11"/>
        <v>0</v>
      </c>
      <c r="AE79" s="54">
        <f t="shared" si="11"/>
        <v>0</v>
      </c>
      <c r="AF79" s="54">
        <f t="shared" si="11"/>
        <v>0</v>
      </c>
      <c r="AG79" s="55">
        <f t="shared" si="11"/>
        <v>0</v>
      </c>
      <c r="AH79" s="38"/>
      <c r="AI79" s="38"/>
      <c r="AJ79" s="38"/>
      <c r="AK79" s="38"/>
      <c r="AL79" s="38"/>
      <c r="AM79" s="38"/>
      <c r="AN79" s="38"/>
      <c r="AO79" s="38"/>
      <c r="AS79" s="16"/>
      <c r="AT79" s="16"/>
      <c r="AW79" s="16"/>
    </row>
    <row r="80" spans="1:51" s="10" customFormat="1" ht="26" customHeight="1" x14ac:dyDescent="0.25">
      <c r="A80" s="119"/>
      <c r="B80" s="125" t="str">
        <f t="shared" si="10"/>
        <v>Tagschicht</v>
      </c>
      <c r="C80" s="127">
        <f t="shared" ref="C80:AG80" si="12">COUNTIF(C$10:C$49, $F$100)</f>
        <v>0</v>
      </c>
      <c r="D80" s="127">
        <f t="shared" si="12"/>
        <v>0</v>
      </c>
      <c r="E80" s="127">
        <f t="shared" si="12"/>
        <v>0</v>
      </c>
      <c r="F80" s="127">
        <f t="shared" si="12"/>
        <v>0</v>
      </c>
      <c r="G80" s="127">
        <f t="shared" si="12"/>
        <v>0</v>
      </c>
      <c r="H80" s="127">
        <f t="shared" si="12"/>
        <v>0</v>
      </c>
      <c r="I80" s="127">
        <f t="shared" si="12"/>
        <v>0</v>
      </c>
      <c r="J80" s="127">
        <f t="shared" si="12"/>
        <v>0</v>
      </c>
      <c r="K80" s="127">
        <f t="shared" si="12"/>
        <v>0</v>
      </c>
      <c r="L80" s="127">
        <f t="shared" si="12"/>
        <v>0</v>
      </c>
      <c r="M80" s="127">
        <f t="shared" si="12"/>
        <v>0</v>
      </c>
      <c r="N80" s="127">
        <f t="shared" si="12"/>
        <v>0</v>
      </c>
      <c r="O80" s="127">
        <f t="shared" si="12"/>
        <v>0</v>
      </c>
      <c r="P80" s="127">
        <f t="shared" si="12"/>
        <v>0</v>
      </c>
      <c r="Q80" s="127">
        <f t="shared" si="12"/>
        <v>0</v>
      </c>
      <c r="R80" s="127">
        <f t="shared" si="12"/>
        <v>0</v>
      </c>
      <c r="S80" s="127">
        <f t="shared" si="12"/>
        <v>0</v>
      </c>
      <c r="T80" s="127">
        <f t="shared" si="12"/>
        <v>0</v>
      </c>
      <c r="U80" s="127">
        <f t="shared" si="12"/>
        <v>0</v>
      </c>
      <c r="V80" s="127">
        <f t="shared" si="12"/>
        <v>0</v>
      </c>
      <c r="W80" s="127">
        <f t="shared" si="12"/>
        <v>0</v>
      </c>
      <c r="X80" s="127">
        <f t="shared" si="12"/>
        <v>0</v>
      </c>
      <c r="Y80" s="127">
        <f t="shared" si="12"/>
        <v>0</v>
      </c>
      <c r="Z80" s="127">
        <f t="shared" si="12"/>
        <v>0</v>
      </c>
      <c r="AA80" s="127">
        <f t="shared" si="12"/>
        <v>0</v>
      </c>
      <c r="AB80" s="127">
        <f t="shared" si="12"/>
        <v>0</v>
      </c>
      <c r="AC80" s="127">
        <f t="shared" si="12"/>
        <v>0</v>
      </c>
      <c r="AD80" s="127">
        <f t="shared" si="12"/>
        <v>0</v>
      </c>
      <c r="AE80" s="127">
        <f t="shared" si="12"/>
        <v>0</v>
      </c>
      <c r="AF80" s="127">
        <f t="shared" si="12"/>
        <v>0</v>
      </c>
      <c r="AG80" s="128">
        <f t="shared" si="12"/>
        <v>0</v>
      </c>
      <c r="AH80" s="38"/>
      <c r="AI80" s="38"/>
      <c r="AJ80" s="38"/>
      <c r="AK80" s="38"/>
      <c r="AL80" s="38"/>
      <c r="AM80" s="38"/>
      <c r="AN80" s="38"/>
      <c r="AO80" s="38"/>
      <c r="AS80" s="16"/>
      <c r="AT80" s="16"/>
      <c r="AW80" s="16"/>
    </row>
    <row r="81" spans="1:70" s="10" customFormat="1" ht="26" customHeight="1" x14ac:dyDescent="0.25">
      <c r="A81" s="119"/>
      <c r="B81" s="125" t="str">
        <f t="shared" si="10"/>
        <v>Konsole Nacht</v>
      </c>
      <c r="C81" s="127">
        <f t="shared" ref="C81:AG81" si="13">COUNTIF(C$10:C$49, $F$101)</f>
        <v>0</v>
      </c>
      <c r="D81" s="127">
        <f t="shared" si="13"/>
        <v>0</v>
      </c>
      <c r="E81" s="127">
        <f t="shared" si="13"/>
        <v>0</v>
      </c>
      <c r="F81" s="127">
        <f t="shared" si="13"/>
        <v>0</v>
      </c>
      <c r="G81" s="127">
        <f t="shared" si="13"/>
        <v>0</v>
      </c>
      <c r="H81" s="127">
        <f t="shared" si="13"/>
        <v>0</v>
      </c>
      <c r="I81" s="127">
        <f t="shared" si="13"/>
        <v>0</v>
      </c>
      <c r="J81" s="127">
        <f t="shared" si="13"/>
        <v>0</v>
      </c>
      <c r="K81" s="127">
        <f t="shared" si="13"/>
        <v>0</v>
      </c>
      <c r="L81" s="127">
        <f t="shared" si="13"/>
        <v>0</v>
      </c>
      <c r="M81" s="127">
        <f t="shared" si="13"/>
        <v>0</v>
      </c>
      <c r="N81" s="127">
        <f t="shared" si="13"/>
        <v>0</v>
      </c>
      <c r="O81" s="127">
        <f t="shared" si="13"/>
        <v>0</v>
      </c>
      <c r="P81" s="127">
        <f t="shared" si="13"/>
        <v>0</v>
      </c>
      <c r="Q81" s="127">
        <f t="shared" si="13"/>
        <v>0</v>
      </c>
      <c r="R81" s="127">
        <f t="shared" si="13"/>
        <v>0</v>
      </c>
      <c r="S81" s="127">
        <f t="shared" si="13"/>
        <v>0</v>
      </c>
      <c r="T81" s="127">
        <f t="shared" si="13"/>
        <v>0</v>
      </c>
      <c r="U81" s="127">
        <f t="shared" si="13"/>
        <v>0</v>
      </c>
      <c r="V81" s="127">
        <f t="shared" si="13"/>
        <v>0</v>
      </c>
      <c r="W81" s="127">
        <f t="shared" si="13"/>
        <v>0</v>
      </c>
      <c r="X81" s="127">
        <f t="shared" si="13"/>
        <v>0</v>
      </c>
      <c r="Y81" s="127">
        <f t="shared" si="13"/>
        <v>0</v>
      </c>
      <c r="Z81" s="127">
        <f t="shared" si="13"/>
        <v>0</v>
      </c>
      <c r="AA81" s="127">
        <f t="shared" si="13"/>
        <v>0</v>
      </c>
      <c r="AB81" s="127">
        <f t="shared" si="13"/>
        <v>0</v>
      </c>
      <c r="AC81" s="127">
        <f t="shared" si="13"/>
        <v>0</v>
      </c>
      <c r="AD81" s="127">
        <f t="shared" si="13"/>
        <v>0</v>
      </c>
      <c r="AE81" s="127">
        <f t="shared" si="13"/>
        <v>0</v>
      </c>
      <c r="AF81" s="127">
        <f t="shared" si="13"/>
        <v>0</v>
      </c>
      <c r="AG81" s="128">
        <f t="shared" si="13"/>
        <v>0</v>
      </c>
      <c r="AH81" s="38"/>
      <c r="AI81" s="38"/>
      <c r="AJ81" s="38"/>
      <c r="AK81" s="38"/>
      <c r="AL81" s="38"/>
      <c r="AM81" s="38"/>
      <c r="AN81" s="38"/>
      <c r="AO81" s="38"/>
      <c r="AS81" s="16"/>
      <c r="AT81" s="16"/>
      <c r="AW81" s="16"/>
    </row>
    <row r="82" spans="1:70" s="10" customFormat="1" ht="26" customHeight="1" x14ac:dyDescent="0.25">
      <c r="A82" s="119"/>
      <c r="B82" s="125" t="str">
        <f t="shared" si="10"/>
        <v>Nachtschicht</v>
      </c>
      <c r="C82" s="127">
        <f t="shared" ref="C82:AG82" si="14">COUNTIF(C$10:C$49, $F$102)</f>
        <v>0</v>
      </c>
      <c r="D82" s="127">
        <f t="shared" si="14"/>
        <v>0</v>
      </c>
      <c r="E82" s="127">
        <f t="shared" si="14"/>
        <v>0</v>
      </c>
      <c r="F82" s="127">
        <f t="shared" si="14"/>
        <v>0</v>
      </c>
      <c r="G82" s="127">
        <f t="shared" si="14"/>
        <v>0</v>
      </c>
      <c r="H82" s="127">
        <f t="shared" si="14"/>
        <v>0</v>
      </c>
      <c r="I82" s="127">
        <f t="shared" si="14"/>
        <v>0</v>
      </c>
      <c r="J82" s="127">
        <f t="shared" si="14"/>
        <v>0</v>
      </c>
      <c r="K82" s="127">
        <f t="shared" si="14"/>
        <v>0</v>
      </c>
      <c r="L82" s="127">
        <f t="shared" si="14"/>
        <v>0</v>
      </c>
      <c r="M82" s="127">
        <f t="shared" si="14"/>
        <v>0</v>
      </c>
      <c r="N82" s="127">
        <f t="shared" si="14"/>
        <v>0</v>
      </c>
      <c r="O82" s="127">
        <f t="shared" si="14"/>
        <v>0</v>
      </c>
      <c r="P82" s="127">
        <f t="shared" si="14"/>
        <v>0</v>
      </c>
      <c r="Q82" s="127">
        <f t="shared" si="14"/>
        <v>0</v>
      </c>
      <c r="R82" s="127">
        <f t="shared" si="14"/>
        <v>0</v>
      </c>
      <c r="S82" s="127">
        <f t="shared" si="14"/>
        <v>0</v>
      </c>
      <c r="T82" s="127">
        <f t="shared" si="14"/>
        <v>0</v>
      </c>
      <c r="U82" s="127">
        <f t="shared" si="14"/>
        <v>0</v>
      </c>
      <c r="V82" s="127">
        <f t="shared" si="14"/>
        <v>0</v>
      </c>
      <c r="W82" s="127">
        <f t="shared" si="14"/>
        <v>0</v>
      </c>
      <c r="X82" s="127">
        <f t="shared" si="14"/>
        <v>0</v>
      </c>
      <c r="Y82" s="127">
        <f t="shared" si="14"/>
        <v>0</v>
      </c>
      <c r="Z82" s="127">
        <f t="shared" si="14"/>
        <v>0</v>
      </c>
      <c r="AA82" s="127">
        <f t="shared" si="14"/>
        <v>0</v>
      </c>
      <c r="AB82" s="127">
        <f t="shared" si="14"/>
        <v>0</v>
      </c>
      <c r="AC82" s="127">
        <f t="shared" si="14"/>
        <v>0</v>
      </c>
      <c r="AD82" s="127">
        <f t="shared" si="14"/>
        <v>0</v>
      </c>
      <c r="AE82" s="127">
        <f t="shared" si="14"/>
        <v>0</v>
      </c>
      <c r="AF82" s="127">
        <f t="shared" si="14"/>
        <v>0</v>
      </c>
      <c r="AG82" s="128">
        <f t="shared" si="14"/>
        <v>0</v>
      </c>
      <c r="AH82" s="38"/>
      <c r="AI82" s="38"/>
      <c r="AJ82" s="38"/>
      <c r="AK82" s="38"/>
      <c r="AL82" s="38"/>
      <c r="AM82" s="38"/>
      <c r="AN82" s="38"/>
      <c r="AO82" s="38"/>
      <c r="AS82" s="16"/>
      <c r="AT82" s="16"/>
      <c r="AW82" s="16"/>
    </row>
    <row r="83" spans="1:70" s="10" customFormat="1" ht="26" customHeight="1" x14ac:dyDescent="0.25">
      <c r="A83" s="119"/>
      <c r="B83" s="125" t="str">
        <f t="shared" si="10"/>
        <v/>
      </c>
      <c r="C83" s="127">
        <f t="shared" ref="C83:AG83" si="15">COUNTIF(C$10:C$49, $F$103)</f>
        <v>0</v>
      </c>
      <c r="D83" s="127">
        <f t="shared" si="15"/>
        <v>0</v>
      </c>
      <c r="E83" s="127">
        <f t="shared" si="15"/>
        <v>0</v>
      </c>
      <c r="F83" s="127">
        <f t="shared" si="15"/>
        <v>0</v>
      </c>
      <c r="G83" s="127">
        <f t="shared" si="15"/>
        <v>0</v>
      </c>
      <c r="H83" s="127">
        <f t="shared" si="15"/>
        <v>0</v>
      </c>
      <c r="I83" s="127">
        <f t="shared" si="15"/>
        <v>0</v>
      </c>
      <c r="J83" s="127">
        <f t="shared" si="15"/>
        <v>0</v>
      </c>
      <c r="K83" s="127">
        <f t="shared" si="15"/>
        <v>0</v>
      </c>
      <c r="L83" s="127">
        <f t="shared" si="15"/>
        <v>0</v>
      </c>
      <c r="M83" s="127">
        <f t="shared" si="15"/>
        <v>0</v>
      </c>
      <c r="N83" s="127">
        <f t="shared" si="15"/>
        <v>0</v>
      </c>
      <c r="O83" s="127">
        <f t="shared" si="15"/>
        <v>0</v>
      </c>
      <c r="P83" s="127">
        <f t="shared" si="15"/>
        <v>0</v>
      </c>
      <c r="Q83" s="127">
        <f t="shared" si="15"/>
        <v>0</v>
      </c>
      <c r="R83" s="127">
        <f t="shared" si="15"/>
        <v>0</v>
      </c>
      <c r="S83" s="127">
        <f t="shared" si="15"/>
        <v>0</v>
      </c>
      <c r="T83" s="127">
        <f t="shared" si="15"/>
        <v>0</v>
      </c>
      <c r="U83" s="127">
        <f t="shared" si="15"/>
        <v>0</v>
      </c>
      <c r="V83" s="127">
        <f t="shared" si="15"/>
        <v>0</v>
      </c>
      <c r="W83" s="127">
        <f t="shared" si="15"/>
        <v>0</v>
      </c>
      <c r="X83" s="127">
        <f t="shared" si="15"/>
        <v>0</v>
      </c>
      <c r="Y83" s="127">
        <f t="shared" si="15"/>
        <v>0</v>
      </c>
      <c r="Z83" s="127">
        <f t="shared" si="15"/>
        <v>0</v>
      </c>
      <c r="AA83" s="127">
        <f t="shared" si="15"/>
        <v>0</v>
      </c>
      <c r="AB83" s="127">
        <f t="shared" si="15"/>
        <v>0</v>
      </c>
      <c r="AC83" s="127">
        <f t="shared" si="15"/>
        <v>0</v>
      </c>
      <c r="AD83" s="127">
        <f t="shared" si="15"/>
        <v>0</v>
      </c>
      <c r="AE83" s="127">
        <f t="shared" si="15"/>
        <v>0</v>
      </c>
      <c r="AF83" s="127">
        <f t="shared" si="15"/>
        <v>0</v>
      </c>
      <c r="AG83" s="128">
        <f t="shared" si="15"/>
        <v>0</v>
      </c>
      <c r="AH83" s="38"/>
      <c r="AI83" s="38"/>
      <c r="AJ83" s="38"/>
      <c r="AK83" s="38"/>
      <c r="AL83" s="38"/>
      <c r="AM83" s="38"/>
      <c r="AN83" s="38"/>
      <c r="AO83" s="38"/>
      <c r="AS83" s="16"/>
      <c r="AT83" s="16"/>
      <c r="AW83" s="16"/>
    </row>
    <row r="84" spans="1:70" s="10" customFormat="1" ht="26" customHeight="1" x14ac:dyDescent="0.25">
      <c r="A84" s="119"/>
      <c r="B84" s="125" t="str">
        <f t="shared" si="10"/>
        <v/>
      </c>
      <c r="C84" s="56">
        <f t="shared" ref="C84:AG84" si="16">COUNTIF(C$10:C$49, $F$104)</f>
        <v>0</v>
      </c>
      <c r="D84" s="56">
        <f t="shared" si="16"/>
        <v>0</v>
      </c>
      <c r="E84" s="56">
        <f t="shared" si="16"/>
        <v>0</v>
      </c>
      <c r="F84" s="56">
        <f t="shared" si="16"/>
        <v>0</v>
      </c>
      <c r="G84" s="56">
        <f t="shared" si="16"/>
        <v>0</v>
      </c>
      <c r="H84" s="56">
        <f t="shared" si="16"/>
        <v>0</v>
      </c>
      <c r="I84" s="56">
        <f t="shared" si="16"/>
        <v>0</v>
      </c>
      <c r="J84" s="56">
        <f t="shared" si="16"/>
        <v>0</v>
      </c>
      <c r="K84" s="56">
        <f t="shared" si="16"/>
        <v>0</v>
      </c>
      <c r="L84" s="56">
        <f t="shared" si="16"/>
        <v>0</v>
      </c>
      <c r="M84" s="56">
        <f t="shared" si="16"/>
        <v>0</v>
      </c>
      <c r="N84" s="56">
        <f t="shared" si="16"/>
        <v>0</v>
      </c>
      <c r="O84" s="56">
        <f t="shared" si="16"/>
        <v>0</v>
      </c>
      <c r="P84" s="56">
        <f t="shared" si="16"/>
        <v>0</v>
      </c>
      <c r="Q84" s="56">
        <f t="shared" si="16"/>
        <v>0</v>
      </c>
      <c r="R84" s="56">
        <f t="shared" si="16"/>
        <v>0</v>
      </c>
      <c r="S84" s="56">
        <f t="shared" si="16"/>
        <v>0</v>
      </c>
      <c r="T84" s="56">
        <f t="shared" si="16"/>
        <v>0</v>
      </c>
      <c r="U84" s="56">
        <f t="shared" si="16"/>
        <v>0</v>
      </c>
      <c r="V84" s="56">
        <f t="shared" si="16"/>
        <v>0</v>
      </c>
      <c r="W84" s="56">
        <f t="shared" si="16"/>
        <v>0</v>
      </c>
      <c r="X84" s="56">
        <f t="shared" si="16"/>
        <v>0</v>
      </c>
      <c r="Y84" s="56">
        <f t="shared" si="16"/>
        <v>0</v>
      </c>
      <c r="Z84" s="56">
        <f t="shared" si="16"/>
        <v>0</v>
      </c>
      <c r="AA84" s="56">
        <f t="shared" si="16"/>
        <v>0</v>
      </c>
      <c r="AB84" s="56">
        <f t="shared" si="16"/>
        <v>0</v>
      </c>
      <c r="AC84" s="56">
        <f t="shared" si="16"/>
        <v>0</v>
      </c>
      <c r="AD84" s="56">
        <f t="shared" si="16"/>
        <v>0</v>
      </c>
      <c r="AE84" s="56">
        <f t="shared" si="16"/>
        <v>0</v>
      </c>
      <c r="AF84" s="56">
        <f t="shared" si="16"/>
        <v>0</v>
      </c>
      <c r="AG84" s="129">
        <f t="shared" si="16"/>
        <v>0</v>
      </c>
      <c r="AH84" s="38"/>
      <c r="AI84" s="38"/>
      <c r="AJ84" s="38"/>
      <c r="AK84" s="38"/>
      <c r="AL84" s="38"/>
      <c r="AM84" s="38"/>
      <c r="AN84" s="38"/>
      <c r="AO84" s="38"/>
      <c r="AS84" s="16"/>
      <c r="AT84" s="16"/>
      <c r="AW84" s="16"/>
    </row>
    <row r="85" spans="1:70" s="10" customFormat="1" ht="26" customHeight="1" x14ac:dyDescent="0.25">
      <c r="A85" s="119"/>
      <c r="B85" s="125" t="str">
        <f t="shared" si="10"/>
        <v/>
      </c>
      <c r="C85" s="56">
        <f t="shared" ref="C85:AG85" si="17">COUNTIF(C$10:C$49, $F$105)</f>
        <v>0</v>
      </c>
      <c r="D85" s="56">
        <f t="shared" si="17"/>
        <v>0</v>
      </c>
      <c r="E85" s="56">
        <f t="shared" si="17"/>
        <v>0</v>
      </c>
      <c r="F85" s="56">
        <f t="shared" si="17"/>
        <v>0</v>
      </c>
      <c r="G85" s="56">
        <f t="shared" si="17"/>
        <v>0</v>
      </c>
      <c r="H85" s="56">
        <f t="shared" si="17"/>
        <v>0</v>
      </c>
      <c r="I85" s="56">
        <f t="shared" si="17"/>
        <v>0</v>
      </c>
      <c r="J85" s="56">
        <f t="shared" si="17"/>
        <v>0</v>
      </c>
      <c r="K85" s="56">
        <f t="shared" si="17"/>
        <v>0</v>
      </c>
      <c r="L85" s="56">
        <f t="shared" si="17"/>
        <v>0</v>
      </c>
      <c r="M85" s="56">
        <f t="shared" si="17"/>
        <v>0</v>
      </c>
      <c r="N85" s="56">
        <f t="shared" si="17"/>
        <v>0</v>
      </c>
      <c r="O85" s="56">
        <f t="shared" si="17"/>
        <v>0</v>
      </c>
      <c r="P85" s="56">
        <f t="shared" si="17"/>
        <v>0</v>
      </c>
      <c r="Q85" s="56">
        <f t="shared" si="17"/>
        <v>0</v>
      </c>
      <c r="R85" s="56">
        <f t="shared" si="17"/>
        <v>0</v>
      </c>
      <c r="S85" s="56">
        <f t="shared" si="17"/>
        <v>0</v>
      </c>
      <c r="T85" s="56">
        <f t="shared" si="17"/>
        <v>0</v>
      </c>
      <c r="U85" s="56">
        <f t="shared" si="17"/>
        <v>0</v>
      </c>
      <c r="V85" s="56">
        <f t="shared" si="17"/>
        <v>0</v>
      </c>
      <c r="W85" s="56">
        <f t="shared" si="17"/>
        <v>0</v>
      </c>
      <c r="X85" s="56">
        <f t="shared" si="17"/>
        <v>0</v>
      </c>
      <c r="Y85" s="56">
        <f t="shared" si="17"/>
        <v>0</v>
      </c>
      <c r="Z85" s="56">
        <f t="shared" si="17"/>
        <v>0</v>
      </c>
      <c r="AA85" s="56">
        <f t="shared" si="17"/>
        <v>0</v>
      </c>
      <c r="AB85" s="56">
        <f t="shared" si="17"/>
        <v>0</v>
      </c>
      <c r="AC85" s="56">
        <f t="shared" si="17"/>
        <v>0</v>
      </c>
      <c r="AD85" s="56">
        <f t="shared" si="17"/>
        <v>0</v>
      </c>
      <c r="AE85" s="56">
        <f t="shared" si="17"/>
        <v>0</v>
      </c>
      <c r="AF85" s="56">
        <f t="shared" si="17"/>
        <v>0</v>
      </c>
      <c r="AG85" s="129">
        <f t="shared" si="17"/>
        <v>0</v>
      </c>
      <c r="AH85" s="38"/>
      <c r="AI85" s="38"/>
      <c r="AJ85" s="38"/>
      <c r="AK85" s="38"/>
      <c r="AL85" s="38"/>
      <c r="AM85" s="38"/>
      <c r="AN85" s="38"/>
      <c r="AO85" s="38"/>
      <c r="AS85" s="16"/>
      <c r="AT85" s="16"/>
      <c r="AW85" s="16"/>
    </row>
    <row r="86" spans="1:70" s="10" customFormat="1" ht="26" customHeight="1" x14ac:dyDescent="0.25">
      <c r="A86" s="119"/>
      <c r="B86" s="125" t="str">
        <f t="shared" si="10"/>
        <v/>
      </c>
      <c r="C86" s="56">
        <f t="shared" ref="C86:AG86" si="18">COUNTIF(C$10:C$49, $F$106)</f>
        <v>0</v>
      </c>
      <c r="D86" s="56">
        <f t="shared" si="18"/>
        <v>0</v>
      </c>
      <c r="E86" s="56">
        <f t="shared" si="18"/>
        <v>0</v>
      </c>
      <c r="F86" s="56">
        <f t="shared" si="18"/>
        <v>0</v>
      </c>
      <c r="G86" s="56">
        <f t="shared" si="18"/>
        <v>0</v>
      </c>
      <c r="H86" s="56">
        <f t="shared" si="18"/>
        <v>0</v>
      </c>
      <c r="I86" s="56">
        <f t="shared" si="18"/>
        <v>0</v>
      </c>
      <c r="J86" s="56">
        <f t="shared" si="18"/>
        <v>0</v>
      </c>
      <c r="K86" s="56">
        <f t="shared" si="18"/>
        <v>0</v>
      </c>
      <c r="L86" s="56">
        <f t="shared" si="18"/>
        <v>0</v>
      </c>
      <c r="M86" s="56">
        <f t="shared" si="18"/>
        <v>0</v>
      </c>
      <c r="N86" s="56">
        <f t="shared" si="18"/>
        <v>0</v>
      </c>
      <c r="O86" s="56">
        <f t="shared" si="18"/>
        <v>0</v>
      </c>
      <c r="P86" s="56">
        <f t="shared" si="18"/>
        <v>0</v>
      </c>
      <c r="Q86" s="56">
        <f t="shared" si="18"/>
        <v>0</v>
      </c>
      <c r="R86" s="56">
        <f t="shared" si="18"/>
        <v>0</v>
      </c>
      <c r="S86" s="56">
        <f t="shared" si="18"/>
        <v>0</v>
      </c>
      <c r="T86" s="56">
        <f t="shared" si="18"/>
        <v>0</v>
      </c>
      <c r="U86" s="56">
        <f t="shared" si="18"/>
        <v>0</v>
      </c>
      <c r="V86" s="56">
        <f t="shared" si="18"/>
        <v>0</v>
      </c>
      <c r="W86" s="56">
        <f t="shared" si="18"/>
        <v>0</v>
      </c>
      <c r="X86" s="56">
        <f t="shared" si="18"/>
        <v>0</v>
      </c>
      <c r="Y86" s="56">
        <f t="shared" si="18"/>
        <v>0</v>
      </c>
      <c r="Z86" s="56">
        <f t="shared" si="18"/>
        <v>0</v>
      </c>
      <c r="AA86" s="56">
        <f t="shared" si="18"/>
        <v>0</v>
      </c>
      <c r="AB86" s="56">
        <f t="shared" si="18"/>
        <v>0</v>
      </c>
      <c r="AC86" s="56">
        <f t="shared" si="18"/>
        <v>0</v>
      </c>
      <c r="AD86" s="56">
        <f t="shared" si="18"/>
        <v>0</v>
      </c>
      <c r="AE86" s="56">
        <f t="shared" si="18"/>
        <v>0</v>
      </c>
      <c r="AF86" s="56">
        <f t="shared" si="18"/>
        <v>0</v>
      </c>
      <c r="AG86" s="129">
        <f t="shared" si="18"/>
        <v>0</v>
      </c>
      <c r="AH86" s="38"/>
      <c r="AI86" s="38"/>
      <c r="AJ86" s="38"/>
      <c r="AK86" s="38"/>
      <c r="AL86" s="38"/>
      <c r="AM86" s="38"/>
      <c r="AN86" s="38"/>
      <c r="AO86" s="38"/>
      <c r="AS86" s="16"/>
      <c r="AT86" s="16"/>
      <c r="AW86" s="16"/>
    </row>
    <row r="87" spans="1:70" s="10" customFormat="1" ht="26" customHeight="1" x14ac:dyDescent="0.25">
      <c r="A87" s="119"/>
      <c r="B87" s="125" t="str">
        <f>IF(B107="", "", B107)</f>
        <v/>
      </c>
      <c r="C87" s="56">
        <f t="shared" ref="C87:R88" si="19">COUNTIF(C$10:C$49, $F$107)</f>
        <v>0</v>
      </c>
      <c r="D87" s="56">
        <f t="shared" si="19"/>
        <v>0</v>
      </c>
      <c r="E87" s="56">
        <f t="shared" si="19"/>
        <v>0</v>
      </c>
      <c r="F87" s="56">
        <f t="shared" si="19"/>
        <v>0</v>
      </c>
      <c r="G87" s="56">
        <f t="shared" si="19"/>
        <v>0</v>
      </c>
      <c r="H87" s="56">
        <f t="shared" si="19"/>
        <v>0</v>
      </c>
      <c r="I87" s="56">
        <f t="shared" si="19"/>
        <v>0</v>
      </c>
      <c r="J87" s="56">
        <f t="shared" si="19"/>
        <v>0</v>
      </c>
      <c r="K87" s="56">
        <f t="shared" si="19"/>
        <v>0</v>
      </c>
      <c r="L87" s="56">
        <f t="shared" si="19"/>
        <v>0</v>
      </c>
      <c r="M87" s="56">
        <f t="shared" si="19"/>
        <v>0</v>
      </c>
      <c r="N87" s="56">
        <f t="shared" si="19"/>
        <v>0</v>
      </c>
      <c r="O87" s="56">
        <f t="shared" si="19"/>
        <v>0</v>
      </c>
      <c r="P87" s="56">
        <f t="shared" si="19"/>
        <v>0</v>
      </c>
      <c r="Q87" s="56">
        <f t="shared" si="19"/>
        <v>0</v>
      </c>
      <c r="R87" s="56">
        <f t="shared" si="19"/>
        <v>0</v>
      </c>
      <c r="S87" s="56">
        <f t="shared" ref="S87:AG88" si="20">COUNTIF(S$10:S$49, $F$107)</f>
        <v>0</v>
      </c>
      <c r="T87" s="56">
        <f t="shared" si="20"/>
        <v>0</v>
      </c>
      <c r="U87" s="56">
        <f t="shared" si="20"/>
        <v>0</v>
      </c>
      <c r="V87" s="56">
        <f t="shared" si="20"/>
        <v>0</v>
      </c>
      <c r="W87" s="56">
        <f t="shared" si="20"/>
        <v>0</v>
      </c>
      <c r="X87" s="56">
        <f t="shared" si="20"/>
        <v>0</v>
      </c>
      <c r="Y87" s="56">
        <f t="shared" si="20"/>
        <v>0</v>
      </c>
      <c r="Z87" s="56">
        <f t="shared" si="20"/>
        <v>0</v>
      </c>
      <c r="AA87" s="56">
        <f t="shared" si="20"/>
        <v>0</v>
      </c>
      <c r="AB87" s="56">
        <f t="shared" si="20"/>
        <v>0</v>
      </c>
      <c r="AC87" s="56">
        <f t="shared" si="20"/>
        <v>0</v>
      </c>
      <c r="AD87" s="56">
        <f t="shared" si="20"/>
        <v>0</v>
      </c>
      <c r="AE87" s="56">
        <f t="shared" si="20"/>
        <v>0</v>
      </c>
      <c r="AF87" s="56">
        <f t="shared" si="20"/>
        <v>0</v>
      </c>
      <c r="AG87" s="129">
        <f t="shared" si="20"/>
        <v>0</v>
      </c>
      <c r="AH87" s="38"/>
      <c r="AI87" s="38"/>
      <c r="AJ87" s="38"/>
      <c r="AK87" s="38"/>
      <c r="AL87" s="38"/>
      <c r="AM87" s="38"/>
      <c r="AN87" s="38"/>
      <c r="AO87" s="38"/>
      <c r="AS87" s="16"/>
      <c r="AT87" s="16"/>
      <c r="AW87" s="16"/>
    </row>
    <row r="88" spans="1:70" s="7" customFormat="1" ht="26" customHeight="1" thickBot="1" x14ac:dyDescent="0.4">
      <c r="A88" s="118"/>
      <c r="B88" s="126" t="str">
        <f>IF(B108="", "", B108)</f>
        <v/>
      </c>
      <c r="C88" s="57">
        <f t="shared" si="19"/>
        <v>0</v>
      </c>
      <c r="D88" s="57">
        <f t="shared" si="19"/>
        <v>0</v>
      </c>
      <c r="E88" s="57">
        <f t="shared" si="19"/>
        <v>0</v>
      </c>
      <c r="F88" s="57">
        <f t="shared" si="19"/>
        <v>0</v>
      </c>
      <c r="G88" s="57">
        <f t="shared" si="19"/>
        <v>0</v>
      </c>
      <c r="H88" s="57">
        <f t="shared" si="19"/>
        <v>0</v>
      </c>
      <c r="I88" s="57">
        <f t="shared" si="19"/>
        <v>0</v>
      </c>
      <c r="J88" s="57">
        <f t="shared" si="19"/>
        <v>0</v>
      </c>
      <c r="K88" s="57">
        <f t="shared" si="19"/>
        <v>0</v>
      </c>
      <c r="L88" s="57">
        <f t="shared" si="19"/>
        <v>0</v>
      </c>
      <c r="M88" s="57">
        <f t="shared" si="19"/>
        <v>0</v>
      </c>
      <c r="N88" s="57">
        <f t="shared" si="19"/>
        <v>0</v>
      </c>
      <c r="O88" s="57">
        <f t="shared" si="19"/>
        <v>0</v>
      </c>
      <c r="P88" s="57">
        <f t="shared" si="19"/>
        <v>0</v>
      </c>
      <c r="Q88" s="57">
        <f t="shared" si="19"/>
        <v>0</v>
      </c>
      <c r="R88" s="57">
        <f t="shared" si="19"/>
        <v>0</v>
      </c>
      <c r="S88" s="57">
        <f t="shared" si="20"/>
        <v>0</v>
      </c>
      <c r="T88" s="57">
        <f t="shared" si="20"/>
        <v>0</v>
      </c>
      <c r="U88" s="57">
        <f t="shared" si="20"/>
        <v>0</v>
      </c>
      <c r="V88" s="57">
        <f t="shared" si="20"/>
        <v>0</v>
      </c>
      <c r="W88" s="57">
        <f t="shared" si="20"/>
        <v>0</v>
      </c>
      <c r="X88" s="57">
        <f t="shared" si="20"/>
        <v>0</v>
      </c>
      <c r="Y88" s="57">
        <f t="shared" si="20"/>
        <v>0</v>
      </c>
      <c r="Z88" s="57">
        <f t="shared" si="20"/>
        <v>0</v>
      </c>
      <c r="AA88" s="57">
        <f t="shared" si="20"/>
        <v>0</v>
      </c>
      <c r="AB88" s="57">
        <f t="shared" si="20"/>
        <v>0</v>
      </c>
      <c r="AC88" s="57">
        <f t="shared" si="20"/>
        <v>0</v>
      </c>
      <c r="AD88" s="57">
        <f t="shared" si="20"/>
        <v>0</v>
      </c>
      <c r="AE88" s="57">
        <f t="shared" si="20"/>
        <v>0</v>
      </c>
      <c r="AF88" s="57">
        <f t="shared" si="20"/>
        <v>0</v>
      </c>
      <c r="AG88" s="130">
        <f t="shared" si="20"/>
        <v>0</v>
      </c>
      <c r="AH88" s="8"/>
      <c r="AI88" s="8"/>
      <c r="AJ88" s="8"/>
      <c r="AK88" s="8"/>
      <c r="AL88" s="8"/>
      <c r="AM88" s="8"/>
      <c r="AN88" s="8"/>
      <c r="AO88" s="8"/>
      <c r="AS88" s="16"/>
      <c r="AT88" s="16"/>
      <c r="AW88" s="16"/>
    </row>
    <row r="89" spans="1:70" s="38" customFormat="1" ht="26" customHeight="1" x14ac:dyDescent="0.25">
      <c r="A89" s="119"/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</row>
    <row r="90" spans="1:70" s="8" customFormat="1" ht="26" customHeight="1" x14ac:dyDescent="0.35">
      <c r="A90" s="118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16"/>
      <c r="AT90" s="16"/>
      <c r="AU90" s="7"/>
      <c r="AV90" s="7"/>
      <c r="AW90" s="16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</row>
    <row r="91" spans="1:70" s="10" customFormat="1" ht="26" customHeight="1" x14ac:dyDescent="0.25">
      <c r="A91" s="37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S91" s="16"/>
      <c r="AT91" s="16"/>
      <c r="AW91" s="16"/>
    </row>
    <row r="92" spans="1:70" s="10" customFormat="1" ht="26" customHeight="1" x14ac:dyDescent="0.25">
      <c r="A92" s="119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S92" s="16"/>
      <c r="AT92" s="16"/>
      <c r="AW92" s="16"/>
    </row>
    <row r="93" spans="1:70" s="7" customFormat="1" ht="26" customHeight="1" thickBot="1" x14ac:dyDescent="0.4">
      <c r="A93" s="118"/>
      <c r="AS93" s="16"/>
      <c r="AT93" s="16"/>
      <c r="AW93" s="16"/>
    </row>
    <row r="94" spans="1:70" s="7" customFormat="1" ht="39" customHeight="1" thickBot="1" x14ac:dyDescent="0.4">
      <c r="A94" s="118"/>
      <c r="B94" s="20" t="s">
        <v>26</v>
      </c>
      <c r="C94" s="288">
        <f>Einstellungen!B3</f>
        <v>2024</v>
      </c>
      <c r="D94" s="289"/>
      <c r="E94" s="289"/>
      <c r="F94" s="289"/>
      <c r="G94" s="289"/>
      <c r="H94" s="289"/>
      <c r="AS94" s="16"/>
      <c r="AT94" s="16"/>
      <c r="AW94" s="16"/>
    </row>
    <row r="95" spans="1:70" s="5" customFormat="1" ht="26" customHeight="1" x14ac:dyDescent="0.35">
      <c r="A95" s="118"/>
      <c r="B95" s="39" t="s">
        <v>23</v>
      </c>
      <c r="C95" s="278">
        <v>12</v>
      </c>
      <c r="D95" s="279"/>
      <c r="E95" s="279"/>
      <c r="F95" s="279"/>
      <c r="G95" s="279"/>
      <c r="H95" s="280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S95" s="43"/>
      <c r="AT95" s="43"/>
      <c r="AW95" s="43"/>
    </row>
    <row r="96" spans="1:70" s="5" customFormat="1" ht="26" customHeight="1" thickBot="1" x14ac:dyDescent="0.4">
      <c r="A96" s="118"/>
      <c r="B96" s="40" t="s">
        <v>25</v>
      </c>
      <c r="C96" s="281" t="s">
        <v>79</v>
      </c>
      <c r="D96" s="282"/>
      <c r="E96" s="282"/>
      <c r="F96" s="282"/>
      <c r="G96" s="282"/>
      <c r="H96" s="283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S96" s="43"/>
      <c r="AT96" s="43"/>
      <c r="AW96" s="43"/>
    </row>
    <row r="97" spans="1:49" s="5" customFormat="1" ht="26" customHeight="1" thickBot="1" x14ac:dyDescent="0.4">
      <c r="A97" s="118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S97" s="43"/>
      <c r="AT97" s="43"/>
      <c r="AW97" s="43"/>
    </row>
    <row r="98" spans="1:49" s="5" customFormat="1" ht="39" customHeight="1" thickBot="1" x14ac:dyDescent="0.4">
      <c r="A98" s="118"/>
      <c r="B98" s="196" t="s">
        <v>34</v>
      </c>
      <c r="C98" s="284" t="s">
        <v>35</v>
      </c>
      <c r="D98" s="285"/>
      <c r="E98" s="285"/>
      <c r="F98" s="284" t="s">
        <v>36</v>
      </c>
      <c r="G98" s="285"/>
      <c r="H98" s="286"/>
      <c r="I98" s="287"/>
      <c r="J98" s="28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S98" s="43"/>
      <c r="AT98" s="43"/>
      <c r="AW98" s="43"/>
    </row>
    <row r="99" spans="1:49" s="5" customFormat="1" ht="26" customHeight="1" x14ac:dyDescent="0.35">
      <c r="A99" s="118"/>
      <c r="B99" s="195" t="s">
        <v>99</v>
      </c>
      <c r="C99" s="290">
        <v>1</v>
      </c>
      <c r="D99" s="291"/>
      <c r="E99" s="291"/>
      <c r="F99" s="291" t="s">
        <v>81</v>
      </c>
      <c r="G99" s="291"/>
      <c r="H99" s="292"/>
      <c r="I99" s="293"/>
      <c r="J99" s="293"/>
      <c r="K99" s="7"/>
      <c r="L99" s="7"/>
      <c r="M99" s="7"/>
      <c r="N99" s="7"/>
      <c r="O99" s="7"/>
      <c r="P99" s="7"/>
      <c r="Q99" s="58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S99" s="43"/>
      <c r="AT99" s="43"/>
      <c r="AW99" s="43"/>
    </row>
    <row r="100" spans="1:49" s="5" customFormat="1" ht="26" customHeight="1" x14ac:dyDescent="0.4">
      <c r="A100" s="118"/>
      <c r="B100" s="193" t="s">
        <v>100</v>
      </c>
      <c r="C100" s="294">
        <v>2</v>
      </c>
      <c r="D100" s="295"/>
      <c r="E100" s="295"/>
      <c r="F100" s="295" t="s">
        <v>17</v>
      </c>
      <c r="G100" s="295"/>
      <c r="H100" s="296"/>
      <c r="I100" s="293"/>
      <c r="J100" s="293"/>
      <c r="K100" s="7"/>
      <c r="L100" s="7"/>
      <c r="M100" s="7"/>
      <c r="N100" s="7"/>
      <c r="O100" s="7"/>
      <c r="P100" s="7"/>
      <c r="Q100" s="60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S100" s="43"/>
      <c r="AT100" s="43"/>
      <c r="AW100" s="43"/>
    </row>
    <row r="101" spans="1:49" s="5" customFormat="1" ht="26" customHeight="1" x14ac:dyDescent="0.4">
      <c r="A101" s="118"/>
      <c r="B101" s="193" t="s">
        <v>101</v>
      </c>
      <c r="C101" s="294">
        <v>1</v>
      </c>
      <c r="D101" s="295"/>
      <c r="E101" s="295"/>
      <c r="F101" s="295" t="s">
        <v>82</v>
      </c>
      <c r="G101" s="295"/>
      <c r="H101" s="296"/>
      <c r="I101" s="293"/>
      <c r="J101" s="293"/>
      <c r="K101" s="7"/>
      <c r="L101" s="7"/>
      <c r="M101" s="7"/>
      <c r="N101" s="7"/>
      <c r="O101" s="7"/>
      <c r="P101" s="7"/>
      <c r="Q101" s="59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S101" s="43"/>
      <c r="AT101" s="43"/>
      <c r="AW101" s="43"/>
    </row>
    <row r="102" spans="1:49" s="5" customFormat="1" ht="26" customHeight="1" x14ac:dyDescent="0.4">
      <c r="A102" s="118"/>
      <c r="B102" s="193" t="s">
        <v>102</v>
      </c>
      <c r="C102" s="294">
        <v>2</v>
      </c>
      <c r="D102" s="295"/>
      <c r="E102" s="295"/>
      <c r="F102" s="295" t="s">
        <v>18</v>
      </c>
      <c r="G102" s="295"/>
      <c r="H102" s="296"/>
      <c r="I102" s="293"/>
      <c r="J102" s="293"/>
      <c r="K102" s="7"/>
      <c r="L102" s="7"/>
      <c r="M102" s="7"/>
      <c r="N102" s="7"/>
      <c r="O102" s="7"/>
      <c r="P102" s="7"/>
      <c r="Q102" s="60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S102" s="43"/>
      <c r="AT102" s="43"/>
      <c r="AW102" s="43"/>
    </row>
    <row r="103" spans="1:49" ht="26" customHeight="1" x14ac:dyDescent="0.4">
      <c r="A103" s="118"/>
      <c r="B103" s="193"/>
      <c r="C103" s="294"/>
      <c r="D103" s="295"/>
      <c r="E103" s="295"/>
      <c r="F103" s="295"/>
      <c r="G103" s="295"/>
      <c r="H103" s="296"/>
      <c r="I103" s="293"/>
      <c r="J103" s="293"/>
      <c r="Q103" s="59"/>
    </row>
    <row r="104" spans="1:49" ht="26" customHeight="1" x14ac:dyDescent="0.4">
      <c r="A104" s="118"/>
      <c r="B104" s="193"/>
      <c r="C104" s="294"/>
      <c r="D104" s="295"/>
      <c r="E104" s="295"/>
      <c r="F104" s="295"/>
      <c r="G104" s="295"/>
      <c r="H104" s="296"/>
      <c r="I104" s="293"/>
      <c r="J104" s="293"/>
      <c r="Q104" s="59"/>
    </row>
    <row r="105" spans="1:49" ht="26" customHeight="1" x14ac:dyDescent="0.4">
      <c r="B105" s="193"/>
      <c r="C105" s="294"/>
      <c r="D105" s="295"/>
      <c r="E105" s="295"/>
      <c r="F105" s="295"/>
      <c r="G105" s="295"/>
      <c r="H105" s="296"/>
      <c r="Q105" s="59"/>
    </row>
    <row r="106" spans="1:49" ht="26" customHeight="1" x14ac:dyDescent="0.4">
      <c r="B106" s="193"/>
      <c r="C106" s="294"/>
      <c r="D106" s="295"/>
      <c r="E106" s="295"/>
      <c r="F106" s="295"/>
      <c r="G106" s="295"/>
      <c r="H106" s="296"/>
      <c r="Q106" s="59"/>
    </row>
    <row r="107" spans="1:49" ht="26" customHeight="1" x14ac:dyDescent="0.4">
      <c r="B107" s="193"/>
      <c r="C107" s="294"/>
      <c r="D107" s="295"/>
      <c r="E107" s="295"/>
      <c r="F107" s="295"/>
      <c r="G107" s="295"/>
      <c r="H107" s="296"/>
      <c r="Q107" s="59"/>
    </row>
    <row r="108" spans="1:49" ht="26" customHeight="1" thickBot="1" x14ac:dyDescent="0.45">
      <c r="B108" s="194"/>
      <c r="C108" s="297"/>
      <c r="D108" s="298"/>
      <c r="E108" s="298"/>
      <c r="F108" s="298"/>
      <c r="G108" s="298"/>
      <c r="H108" s="299"/>
      <c r="Q108" s="59"/>
    </row>
    <row r="109" spans="1:49" ht="26" customHeight="1" x14ac:dyDescent="0.35">
      <c r="A109" s="118"/>
      <c r="B109" s="7"/>
      <c r="C109" s="7"/>
      <c r="D109" s="7"/>
      <c r="E109" s="7"/>
      <c r="F109" s="7"/>
      <c r="G109" s="7"/>
      <c r="H109" s="7"/>
    </row>
    <row r="110" spans="1:49" x14ac:dyDescent="0.35">
      <c r="A110" s="118"/>
      <c r="B110" s="7"/>
      <c r="C110" s="7"/>
      <c r="D110" s="7"/>
      <c r="E110" s="7"/>
      <c r="F110" s="7"/>
      <c r="G110" s="7"/>
      <c r="H110" s="7"/>
    </row>
    <row r="111" spans="1:49" ht="18" x14ac:dyDescent="0.4">
      <c r="A111" s="118"/>
      <c r="B111" s="107" t="s">
        <v>37</v>
      </c>
      <c r="C111" s="7"/>
      <c r="D111" s="7"/>
      <c r="E111" s="7"/>
      <c r="F111" s="7"/>
      <c r="G111" s="7"/>
      <c r="H111" s="7"/>
    </row>
    <row r="112" spans="1:49" x14ac:dyDescent="0.35">
      <c r="A112" s="118"/>
      <c r="B112" s="7" t="s">
        <v>66</v>
      </c>
      <c r="C112" s="7"/>
      <c r="D112" s="7"/>
      <c r="E112" s="7"/>
      <c r="F112" s="7"/>
      <c r="G112" s="7"/>
      <c r="H112" s="7"/>
    </row>
    <row r="113" spans="1:8" x14ac:dyDescent="0.35">
      <c r="A113" s="118"/>
      <c r="B113" s="7"/>
      <c r="C113" s="7"/>
      <c r="D113" s="7"/>
      <c r="E113" s="7"/>
      <c r="F113" s="7"/>
      <c r="G113" s="7"/>
      <c r="H113" s="7"/>
    </row>
  </sheetData>
  <sheetProtection algorithmName="SHA-512" hashValue="vjrbmlZ4k4rDBNJ2kd7bJnON9L7UXMJh+S/qKL+XA6QZL1lp7HQISywjEYyCUW5qdIT4HXIfeXb1b14MTpplWg==" saltValue="R7P3ICE4rUFWYqgKZ6s/YA==" spinCount="100000" sheet="1" objects="1" scenarios="1" formatCells="0" selectLockedCells="1"/>
  <mergeCells count="58">
    <mergeCell ref="L3:S3"/>
    <mergeCell ref="AS4:AW4"/>
    <mergeCell ref="B6:B7"/>
    <mergeCell ref="AH6:AH7"/>
    <mergeCell ref="AI6:AI7"/>
    <mergeCell ref="AJ6:AJ7"/>
    <mergeCell ref="AQ6:AQ7"/>
    <mergeCell ref="B53:I53"/>
    <mergeCell ref="B54:I54"/>
    <mergeCell ref="B55:I55"/>
    <mergeCell ref="B56:I56"/>
    <mergeCell ref="B57:I57"/>
    <mergeCell ref="B75:N75"/>
    <mergeCell ref="AB58:AJ58"/>
    <mergeCell ref="B59:I59"/>
    <mergeCell ref="B60:I60"/>
    <mergeCell ref="B67:N67"/>
    <mergeCell ref="B68:N68"/>
    <mergeCell ref="B69:N69"/>
    <mergeCell ref="B58:I58"/>
    <mergeCell ref="B70:N70"/>
    <mergeCell ref="B71:N71"/>
    <mergeCell ref="B72:N72"/>
    <mergeCell ref="B73:N73"/>
    <mergeCell ref="B74:N74"/>
    <mergeCell ref="B76:N76"/>
    <mergeCell ref="C94:H94"/>
    <mergeCell ref="C95:H95"/>
    <mergeCell ref="C96:H96"/>
    <mergeCell ref="C98:E98"/>
    <mergeCell ref="F98:H98"/>
    <mergeCell ref="I98:J98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Q10:AQ49">
    <cfRule type="cellIs" dxfId="57" priority="30" stopIfTrue="1" operator="greaterThan">
      <formula>0</formula>
    </cfRule>
    <cfRule type="cellIs" dxfId="56" priority="42" stopIfTrue="1" operator="equal">
      <formula>0</formula>
    </cfRule>
  </conditionalFormatting>
  <conditionalFormatting sqref="C6:AG9">
    <cfRule type="expression" dxfId="55" priority="40">
      <formula>C$9="FT"</formula>
    </cfRule>
    <cfRule type="expression" dxfId="54" priority="41">
      <formula>C$8&gt;5</formula>
    </cfRule>
  </conditionalFormatting>
  <conditionalFormatting sqref="B50">
    <cfRule type="expression" dxfId="53" priority="38">
      <formula>B$50="WS"</formula>
    </cfRule>
    <cfRule type="expression" dxfId="52" priority="39">
      <formula>B$50="SZ"</formula>
    </cfRule>
  </conditionalFormatting>
  <conditionalFormatting sqref="C10:AG49">
    <cfRule type="expression" dxfId="51" priority="1" stopIfTrue="1">
      <formula>C10="FS"</formula>
    </cfRule>
    <cfRule type="expression" dxfId="50" priority="2">
      <formula>C10="K"</formula>
    </cfRule>
    <cfRule type="expression" dxfId="49" priority="3" stopIfTrue="1">
      <formula>C10="U"</formula>
    </cfRule>
    <cfRule type="expression" dxfId="48" priority="18">
      <formula>OR(C10="PT", C10="PN")</formula>
    </cfRule>
    <cfRule type="expression" dxfId="47" priority="19">
      <formula>C10="KT"</formula>
    </cfRule>
    <cfRule type="expression" dxfId="46" priority="20">
      <formula>OR(C10="KT", C10="T1", C10="HT", C10="T")</formula>
    </cfRule>
    <cfRule type="expression" dxfId="45" priority="32">
      <formula>C10="KN"</formula>
    </cfRule>
    <cfRule type="expression" dxfId="44" priority="33">
      <formula>OR(C10="KN", C10="N1", C10="HN", C10="N")</formula>
    </cfRule>
    <cfRule type="expression" dxfId="43" priority="34">
      <formula>C$9="FT"</formula>
    </cfRule>
    <cfRule type="expression" dxfId="42" priority="35">
      <formula>C$8&gt;5</formula>
    </cfRule>
    <cfRule type="expression" dxfId="41" priority="36">
      <formula>C10="S"</formula>
    </cfRule>
    <cfRule type="expression" dxfId="40" priority="37">
      <formula>C10="F"</formula>
    </cfRule>
  </conditionalFormatting>
  <conditionalFormatting sqref="C50:AG50">
    <cfRule type="expression" dxfId="39" priority="31" stopIfTrue="1">
      <formula>C$50="S"</formula>
    </cfRule>
  </conditionalFormatting>
  <conditionalFormatting sqref="AI10:AI49">
    <cfRule type="cellIs" dxfId="38" priority="28" stopIfTrue="1" operator="equal">
      <formula>0</formula>
    </cfRule>
    <cfRule type="cellIs" dxfId="37" priority="29" operator="greaterThan">
      <formula>0</formula>
    </cfRule>
  </conditionalFormatting>
  <conditionalFormatting sqref="AM10:AM49">
    <cfRule type="cellIs" dxfId="36" priority="26" stopIfTrue="1" operator="equal">
      <formula>0</formula>
    </cfRule>
    <cfRule type="cellIs" dxfId="35" priority="27" operator="greaterThan">
      <formula>0</formula>
    </cfRule>
  </conditionalFormatting>
  <conditionalFormatting sqref="AH10:AH49">
    <cfRule type="cellIs" dxfId="34" priority="25" operator="equal">
      <formula>0</formula>
    </cfRule>
  </conditionalFormatting>
  <conditionalFormatting sqref="AJ10:AK49">
    <cfRule type="cellIs" dxfId="33" priority="24" operator="equal">
      <formula>0</formula>
    </cfRule>
  </conditionalFormatting>
  <conditionalFormatting sqref="AL10:AL49">
    <cfRule type="cellIs" dxfId="32" priority="23" operator="equal">
      <formula>0</formula>
    </cfRule>
  </conditionalFormatting>
  <conditionalFormatting sqref="AN10:AP49">
    <cfRule type="cellIs" dxfId="31" priority="21" operator="equal">
      <formula>0</formula>
    </cfRule>
    <cfRule type="cellIs" dxfId="30" priority="22" stopIfTrue="1" operator="greaterThan">
      <formula>0</formula>
    </cfRule>
  </conditionalFormatting>
  <conditionalFormatting sqref="C84:AG84">
    <cfRule type="expression" dxfId="29" priority="9" stopIfTrue="1">
      <formula>IF($B$84="",1,0)</formula>
    </cfRule>
    <cfRule type="expression" dxfId="28" priority="43" stopIfTrue="1">
      <formula>IF(C$84&lt;&gt;$C$104,1,0)</formula>
    </cfRule>
    <cfRule type="expression" dxfId="27" priority="44" stopIfTrue="1">
      <formula>IF(C$84=$C$104,1,0)</formula>
    </cfRule>
  </conditionalFormatting>
  <conditionalFormatting sqref="C85:AG85">
    <cfRule type="expression" dxfId="26" priority="10" stopIfTrue="1">
      <formula>IF($B$85="",1,0)</formula>
    </cfRule>
    <cfRule type="expression" dxfId="25" priority="45">
      <formula>IF(C$85=$C$105,1,0)</formula>
    </cfRule>
    <cfRule type="expression" dxfId="24" priority="46">
      <formula>IF(C$85&lt;&gt;$C$105,1,0)</formula>
    </cfRule>
  </conditionalFormatting>
  <conditionalFormatting sqref="C86:AG86">
    <cfRule type="expression" dxfId="23" priority="11" stopIfTrue="1">
      <formula>IF($B$86="",1,0)</formula>
    </cfRule>
    <cfRule type="expression" dxfId="22" priority="47" stopIfTrue="1">
      <formula>IF(C$86&lt;&gt;$C$106,1,0)</formula>
    </cfRule>
    <cfRule type="expression" dxfId="21" priority="48" stopIfTrue="1">
      <formula>IF(C$86=$C$106,1,0)</formula>
    </cfRule>
  </conditionalFormatting>
  <conditionalFormatting sqref="C79:AG79">
    <cfRule type="expression" dxfId="20" priority="4">
      <formula>IF($B$79="",1,0)</formula>
    </cfRule>
    <cfRule type="expression" dxfId="19" priority="49">
      <formula>IF(C$79=$C$99,1,0)</formula>
    </cfRule>
    <cfRule type="expression" dxfId="18" priority="50">
      <formula>IF(C$79&lt;&gt;$C$99,1,0)</formula>
    </cfRule>
  </conditionalFormatting>
  <conditionalFormatting sqref="C81:AG81">
    <cfRule type="expression" dxfId="17" priority="6">
      <formula>IF($B$81="",1,0)</formula>
    </cfRule>
    <cfRule type="expression" dxfId="16" priority="51">
      <formula>IF(C$81=$C$101,1,0)</formula>
    </cfRule>
    <cfRule type="expression" dxfId="15" priority="52">
      <formula>IF(C$81&lt;&gt;$C$101,1,0)</formula>
    </cfRule>
  </conditionalFormatting>
  <conditionalFormatting sqref="C80:AG80">
    <cfRule type="expression" dxfId="14" priority="5">
      <formula>IF($B$80="",1,0)</formula>
    </cfRule>
    <cfRule type="expression" dxfId="13" priority="53">
      <formula>IF(C$80&lt;&gt;$C$100,1,0)</formula>
    </cfRule>
    <cfRule type="expression" dxfId="12" priority="54">
      <formula>IF(C$80=$C$100,1,0)</formula>
    </cfRule>
  </conditionalFormatting>
  <conditionalFormatting sqref="C82:AG82">
    <cfRule type="expression" dxfId="11" priority="7">
      <formula>IF($B$82="",1,0)</formula>
    </cfRule>
    <cfRule type="expression" dxfId="10" priority="55">
      <formula>IF(C$82&lt;&gt;$C$102,1,0)</formula>
    </cfRule>
    <cfRule type="expression" dxfId="9" priority="56">
      <formula>IF(C$82=$C$102,1,0)</formula>
    </cfRule>
  </conditionalFormatting>
  <conditionalFormatting sqref="C83:AG83">
    <cfRule type="expression" dxfId="8" priority="8" stopIfTrue="1">
      <formula>IF($B$83="",1,0)</formula>
    </cfRule>
    <cfRule type="expression" dxfId="7" priority="57" stopIfTrue="1">
      <formula>IF(C$83=$C$103,1,0)</formula>
    </cfRule>
    <cfRule type="expression" dxfId="6" priority="58" stopIfTrue="1">
      <formula>IF(C$83&lt;&gt;$C$103,1,0)</formula>
    </cfRule>
  </conditionalFormatting>
  <conditionalFormatting sqref="C88:AG88">
    <cfRule type="expression" dxfId="5" priority="13" stopIfTrue="1">
      <formula>IF($B$88="",1,0)</formula>
    </cfRule>
    <cfRule type="expression" dxfId="4" priority="16" stopIfTrue="1">
      <formula>IF(C$88&lt;&gt;$C$108,1,0)</formula>
    </cfRule>
    <cfRule type="expression" dxfId="3" priority="17" stopIfTrue="1">
      <formula>IF(C$88=$C$108,1,0)</formula>
    </cfRule>
  </conditionalFormatting>
  <conditionalFormatting sqref="C87:AG87">
    <cfRule type="expression" dxfId="2" priority="12" stopIfTrue="1">
      <formula>IF($B$87="",1,0)</formula>
    </cfRule>
    <cfRule type="expression" dxfId="1" priority="14" stopIfTrue="1">
      <formula>IF(C$87&lt;&gt;$C$107,1,0)</formula>
    </cfRule>
    <cfRule type="expression" dxfId="0" priority="15" stopIfTrue="1">
      <formula>IF(C$87=$C$107,1,0)</formula>
    </cfRule>
  </conditionalFormatting>
  <dataValidations count="1">
    <dataValidation type="list" allowBlank="1" showInputMessage="1" showErrorMessage="1" sqref="B10:B49" xr:uid="{91CE898A-EBAB-4289-8F8E-ED892534ED15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8" orientation="landscape" r:id="rId1"/>
  <rowBreaks count="1" manualBreakCount="1">
    <brk id="78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16</vt:i4>
      </vt:variant>
    </vt:vector>
  </HeadingPairs>
  <TitlesOfParts>
    <vt:vector size="29" baseType="lpstr">
      <vt:lpstr>Einstellungen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April!Druckbereich</vt:lpstr>
      <vt:lpstr>August!Druckbereich</vt:lpstr>
      <vt:lpstr>Dezember!Druckbereich</vt:lpstr>
      <vt:lpstr>Februar!Druckbereich</vt:lpstr>
      <vt:lpstr>Januar!Druckbereich</vt:lpstr>
      <vt:lpstr>Juli!Druckbereich</vt:lpstr>
      <vt:lpstr>Juni!Druckbereich</vt:lpstr>
      <vt:lpstr>Mai!Druckbereich</vt:lpstr>
      <vt:lpstr>März!Druckbereich</vt:lpstr>
      <vt:lpstr>November!Druckbereich</vt:lpstr>
      <vt:lpstr>Oktober!Druckbereich</vt:lpstr>
      <vt:lpstr>September!Druckbereich</vt:lpstr>
      <vt:lpstr>Einstellungen!MitarbeiterListe</vt:lpstr>
      <vt:lpstr>Nachtschichten</vt:lpstr>
      <vt:lpstr>SortierteNamen</vt:lpstr>
      <vt:lpstr>Tagschichten</vt:lpstr>
    </vt:vector>
  </TitlesOfParts>
  <Manager>Enrico Sadlowski</Manager>
  <Company>ESD-Sicherheitsdienst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Dienstplan BwVz - Vorlage</dc:title>
  <dc:subject>Dienstplan ESD - Vorlage</dc:subject>
  <dc:creator>Enrico Sadlowski</dc:creator>
  <cp:keywords>Dienstplan Dienstplan Vorlage</cp:keywords>
  <dc:description/>
  <cp:lastModifiedBy>Rico Heumann</cp:lastModifiedBy>
  <cp:revision>89</cp:revision>
  <cp:lastPrinted>2024-11-06T01:53:56Z</cp:lastPrinted>
  <dcterms:created xsi:type="dcterms:W3CDTF">2013-09-14T15:46:00Z</dcterms:created>
  <dcterms:modified xsi:type="dcterms:W3CDTF">2025-03-13T10:58:53Z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kumentnummer">
    <vt:lpwstr>1</vt:lpwstr>
  </property>
  <property fmtid="{D5CDD505-2E9C-101B-9397-08002B2CF9AE}" pid="3" name="Erstellt von">
    <vt:lpwstr>Enrico Sadlowski</vt:lpwstr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Projekt">
    <vt:lpwstr>ZInst Garching</vt:lpwstr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Status">
    <vt:lpwstr>In Arbeit</vt:lpwstr>
  </property>
  <property fmtid="{D5CDD505-2E9C-101B-9397-08002B2CF9AE}" pid="10" name="category">
    <vt:lpwstr>Dienstplan, Vorlage</vt:lpwstr>
  </property>
</Properties>
</file>